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cuments\job-search-ops\applications\2026-10-21-career-packs\evidence\inventory-leadtime-kpi-case\"/>
    </mc:Choice>
  </mc:AlternateContent>
  <xr:revisionPtr revIDLastSave="0" documentId="13_ncr:1_{C963247E-D78E-4673-AAAF-2EAD30500F6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ME" sheetId="1" r:id="rId1"/>
    <sheet name="Inputs" sheetId="2" r:id="rId2"/>
    <sheet name="Inventory_Health" sheetId="3" r:id="rId3"/>
    <sheet name="Exceptions" sheetId="4" r:id="rId4"/>
    <sheet name="LeadTime_Analysis" sheetId="5" r:id="rId5"/>
    <sheet name="Recommend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5" i="5" l="1"/>
  <c r="K205" i="5"/>
  <c r="J205" i="5"/>
  <c r="I205" i="5"/>
  <c r="H205" i="5"/>
  <c r="M205" i="5" s="1"/>
  <c r="L204" i="5"/>
  <c r="K204" i="5"/>
  <c r="J204" i="5"/>
  <c r="I204" i="5"/>
  <c r="H204" i="5"/>
  <c r="M204" i="5" s="1"/>
  <c r="L203" i="5"/>
  <c r="K203" i="5"/>
  <c r="J203" i="5"/>
  <c r="I203" i="5"/>
  <c r="H203" i="5"/>
  <c r="M203" i="5" s="1"/>
  <c r="L202" i="5"/>
  <c r="K202" i="5"/>
  <c r="J202" i="5"/>
  <c r="I202" i="5"/>
  <c r="H202" i="5"/>
  <c r="M202" i="5" s="1"/>
  <c r="L201" i="5"/>
  <c r="K201" i="5"/>
  <c r="J201" i="5"/>
  <c r="I201" i="5"/>
  <c r="H201" i="5"/>
  <c r="M201" i="5" s="1"/>
  <c r="L200" i="5"/>
  <c r="K200" i="5"/>
  <c r="J200" i="5"/>
  <c r="I200" i="5"/>
  <c r="H200" i="5"/>
  <c r="M200" i="5" s="1"/>
  <c r="L199" i="5"/>
  <c r="K199" i="5"/>
  <c r="J199" i="5"/>
  <c r="I199" i="5"/>
  <c r="H199" i="5"/>
  <c r="M199" i="5" s="1"/>
  <c r="L198" i="5"/>
  <c r="K198" i="5"/>
  <c r="J198" i="5"/>
  <c r="I198" i="5"/>
  <c r="H198" i="5"/>
  <c r="M198" i="5" s="1"/>
  <c r="L197" i="5"/>
  <c r="K197" i="5"/>
  <c r="J197" i="5"/>
  <c r="I197" i="5"/>
  <c r="H197" i="5"/>
  <c r="M197" i="5" s="1"/>
  <c r="L196" i="5"/>
  <c r="K196" i="5"/>
  <c r="J196" i="5"/>
  <c r="I196" i="5"/>
  <c r="H196" i="5"/>
  <c r="M196" i="5" s="1"/>
  <c r="L195" i="5"/>
  <c r="K195" i="5"/>
  <c r="J195" i="5"/>
  <c r="I195" i="5"/>
  <c r="H195" i="5"/>
  <c r="M195" i="5" s="1"/>
  <c r="L194" i="5"/>
  <c r="K194" i="5"/>
  <c r="J194" i="5"/>
  <c r="I194" i="5"/>
  <c r="H194" i="5"/>
  <c r="M194" i="5" s="1"/>
  <c r="L193" i="5"/>
  <c r="K193" i="5"/>
  <c r="J193" i="5"/>
  <c r="I193" i="5"/>
  <c r="H193" i="5"/>
  <c r="M193" i="5" s="1"/>
  <c r="L192" i="5"/>
  <c r="K192" i="5"/>
  <c r="J192" i="5"/>
  <c r="I192" i="5"/>
  <c r="H192" i="5"/>
  <c r="M192" i="5" s="1"/>
  <c r="L191" i="5"/>
  <c r="K191" i="5"/>
  <c r="J191" i="5"/>
  <c r="I191" i="5"/>
  <c r="H191" i="5"/>
  <c r="M191" i="5" s="1"/>
  <c r="L190" i="5"/>
  <c r="K190" i="5"/>
  <c r="J190" i="5"/>
  <c r="I190" i="5"/>
  <c r="H190" i="5"/>
  <c r="M190" i="5" s="1"/>
  <c r="L189" i="5"/>
  <c r="K189" i="5"/>
  <c r="J189" i="5"/>
  <c r="I189" i="5"/>
  <c r="H189" i="5"/>
  <c r="M189" i="5" s="1"/>
  <c r="L188" i="5"/>
  <c r="K188" i="5"/>
  <c r="J188" i="5"/>
  <c r="I188" i="5"/>
  <c r="H188" i="5"/>
  <c r="M188" i="5" s="1"/>
  <c r="L187" i="5"/>
  <c r="K187" i="5"/>
  <c r="J187" i="5"/>
  <c r="I187" i="5"/>
  <c r="H187" i="5"/>
  <c r="M187" i="5" s="1"/>
  <c r="L186" i="5"/>
  <c r="K186" i="5"/>
  <c r="J186" i="5"/>
  <c r="I186" i="5"/>
  <c r="H186" i="5"/>
  <c r="M186" i="5" s="1"/>
  <c r="L185" i="5"/>
  <c r="K185" i="5"/>
  <c r="J185" i="5"/>
  <c r="I185" i="5"/>
  <c r="H185" i="5"/>
  <c r="M185" i="5" s="1"/>
  <c r="L184" i="5"/>
  <c r="K184" i="5"/>
  <c r="J184" i="5"/>
  <c r="I184" i="5"/>
  <c r="H184" i="5"/>
  <c r="M184" i="5" s="1"/>
  <c r="L183" i="5"/>
  <c r="K183" i="5"/>
  <c r="J183" i="5"/>
  <c r="I183" i="5"/>
  <c r="H183" i="5"/>
  <c r="M183" i="5" s="1"/>
  <c r="L182" i="5"/>
  <c r="K182" i="5"/>
  <c r="J182" i="5"/>
  <c r="I182" i="5"/>
  <c r="H182" i="5"/>
  <c r="M182" i="5" s="1"/>
  <c r="L181" i="5"/>
  <c r="K181" i="5"/>
  <c r="J181" i="5"/>
  <c r="I181" i="5"/>
  <c r="H181" i="5"/>
  <c r="L180" i="5"/>
  <c r="K180" i="5"/>
  <c r="J180" i="5"/>
  <c r="I180" i="5"/>
  <c r="H180" i="5"/>
  <c r="M180" i="5" s="1"/>
  <c r="L179" i="5"/>
  <c r="K179" i="5"/>
  <c r="J179" i="5"/>
  <c r="I179" i="5"/>
  <c r="H179" i="5"/>
  <c r="M179" i="5" s="1"/>
  <c r="L178" i="5"/>
  <c r="K178" i="5"/>
  <c r="J178" i="5"/>
  <c r="I178" i="5"/>
  <c r="H178" i="5"/>
  <c r="M178" i="5" s="1"/>
  <c r="L177" i="5"/>
  <c r="K177" i="5"/>
  <c r="J177" i="5"/>
  <c r="I177" i="5"/>
  <c r="H177" i="5"/>
  <c r="M177" i="5" s="1"/>
  <c r="L176" i="5"/>
  <c r="K176" i="5"/>
  <c r="J176" i="5"/>
  <c r="I176" i="5"/>
  <c r="H176" i="5"/>
  <c r="M176" i="5" s="1"/>
  <c r="L175" i="5"/>
  <c r="K175" i="5"/>
  <c r="J175" i="5"/>
  <c r="I175" i="5"/>
  <c r="H175" i="5"/>
  <c r="L174" i="5"/>
  <c r="K174" i="5"/>
  <c r="J174" i="5"/>
  <c r="I174" i="5"/>
  <c r="H174" i="5"/>
  <c r="M174" i="5" s="1"/>
  <c r="L173" i="5"/>
  <c r="K173" i="5"/>
  <c r="J173" i="5"/>
  <c r="I173" i="5"/>
  <c r="H173" i="5"/>
  <c r="M173" i="5" s="1"/>
  <c r="L172" i="5"/>
  <c r="K172" i="5"/>
  <c r="J172" i="5"/>
  <c r="I172" i="5"/>
  <c r="H172" i="5"/>
  <c r="M172" i="5" s="1"/>
  <c r="L171" i="5"/>
  <c r="K171" i="5"/>
  <c r="J171" i="5"/>
  <c r="I171" i="5"/>
  <c r="H171" i="5"/>
  <c r="M171" i="5" s="1"/>
  <c r="L170" i="5"/>
  <c r="K170" i="5"/>
  <c r="J170" i="5"/>
  <c r="I170" i="5"/>
  <c r="H170" i="5"/>
  <c r="M170" i="5" s="1"/>
  <c r="L169" i="5"/>
  <c r="K169" i="5"/>
  <c r="J169" i="5"/>
  <c r="I169" i="5"/>
  <c r="H169" i="5"/>
  <c r="M169" i="5" s="1"/>
  <c r="L168" i="5"/>
  <c r="K168" i="5"/>
  <c r="J168" i="5"/>
  <c r="I168" i="5"/>
  <c r="H168" i="5"/>
  <c r="M168" i="5" s="1"/>
  <c r="L167" i="5"/>
  <c r="K167" i="5"/>
  <c r="J167" i="5"/>
  <c r="I167" i="5"/>
  <c r="H167" i="5"/>
  <c r="M167" i="5" s="1"/>
  <c r="L166" i="5"/>
  <c r="K166" i="5"/>
  <c r="J166" i="5"/>
  <c r="I166" i="5"/>
  <c r="H166" i="5"/>
  <c r="M166" i="5" s="1"/>
  <c r="L165" i="5"/>
  <c r="K165" i="5"/>
  <c r="J165" i="5"/>
  <c r="I165" i="5"/>
  <c r="H165" i="5"/>
  <c r="L164" i="5"/>
  <c r="K164" i="5"/>
  <c r="J164" i="5"/>
  <c r="I164" i="5"/>
  <c r="H164" i="5"/>
  <c r="M164" i="5" s="1"/>
  <c r="L163" i="5"/>
  <c r="K163" i="5"/>
  <c r="J163" i="5"/>
  <c r="I163" i="5"/>
  <c r="H163" i="5"/>
  <c r="M163" i="5" s="1"/>
  <c r="L162" i="5"/>
  <c r="K162" i="5"/>
  <c r="J162" i="5"/>
  <c r="I162" i="5"/>
  <c r="H162" i="5"/>
  <c r="M162" i="5" s="1"/>
  <c r="L161" i="5"/>
  <c r="K161" i="5"/>
  <c r="J161" i="5"/>
  <c r="I161" i="5"/>
  <c r="H161" i="5"/>
  <c r="M161" i="5" s="1"/>
  <c r="L160" i="5"/>
  <c r="K160" i="5"/>
  <c r="J160" i="5"/>
  <c r="I160" i="5"/>
  <c r="H160" i="5"/>
  <c r="M160" i="5" s="1"/>
  <c r="L159" i="5"/>
  <c r="K159" i="5"/>
  <c r="J159" i="5"/>
  <c r="I159" i="5"/>
  <c r="H159" i="5"/>
  <c r="M159" i="5" s="1"/>
  <c r="L158" i="5"/>
  <c r="K158" i="5"/>
  <c r="J158" i="5"/>
  <c r="I158" i="5"/>
  <c r="H158" i="5"/>
  <c r="L157" i="5"/>
  <c r="K157" i="5"/>
  <c r="J157" i="5"/>
  <c r="I157" i="5"/>
  <c r="H157" i="5"/>
  <c r="M157" i="5" s="1"/>
  <c r="L156" i="5"/>
  <c r="K156" i="5"/>
  <c r="J156" i="5"/>
  <c r="I156" i="5"/>
  <c r="H156" i="5"/>
  <c r="L155" i="5"/>
  <c r="K155" i="5"/>
  <c r="J155" i="5"/>
  <c r="I155" i="5"/>
  <c r="H155" i="5"/>
  <c r="L154" i="5"/>
  <c r="K154" i="5"/>
  <c r="J154" i="5"/>
  <c r="I154" i="5"/>
  <c r="H154" i="5"/>
  <c r="M154" i="5" s="1"/>
  <c r="L153" i="5"/>
  <c r="K153" i="5"/>
  <c r="J153" i="5"/>
  <c r="I153" i="5"/>
  <c r="H153" i="5"/>
  <c r="M153" i="5" s="1"/>
  <c r="L152" i="5"/>
  <c r="K152" i="5"/>
  <c r="J152" i="5"/>
  <c r="I152" i="5"/>
  <c r="H152" i="5"/>
  <c r="M152" i="5" s="1"/>
  <c r="L151" i="5"/>
  <c r="K151" i="5"/>
  <c r="J151" i="5"/>
  <c r="I151" i="5"/>
  <c r="H151" i="5"/>
  <c r="M151" i="5" s="1"/>
  <c r="L150" i="5"/>
  <c r="K150" i="5"/>
  <c r="J150" i="5"/>
  <c r="I150" i="5"/>
  <c r="H150" i="5"/>
  <c r="M150" i="5" s="1"/>
  <c r="L149" i="5"/>
  <c r="K149" i="5"/>
  <c r="J149" i="5"/>
  <c r="I149" i="5"/>
  <c r="H149" i="5"/>
  <c r="M149" i="5" s="1"/>
  <c r="L148" i="5"/>
  <c r="K148" i="5"/>
  <c r="J148" i="5"/>
  <c r="I148" i="5"/>
  <c r="H148" i="5"/>
  <c r="M148" i="5" s="1"/>
  <c r="L147" i="5"/>
  <c r="K147" i="5"/>
  <c r="J147" i="5"/>
  <c r="I147" i="5"/>
  <c r="H147" i="5"/>
  <c r="M147" i="5" s="1"/>
  <c r="L146" i="5"/>
  <c r="K146" i="5"/>
  <c r="J146" i="5"/>
  <c r="I146" i="5"/>
  <c r="H146" i="5"/>
  <c r="M146" i="5" s="1"/>
  <c r="L145" i="5"/>
  <c r="K145" i="5"/>
  <c r="J145" i="5"/>
  <c r="I145" i="5"/>
  <c r="H145" i="5"/>
  <c r="M145" i="5" s="1"/>
  <c r="L144" i="5"/>
  <c r="K144" i="5"/>
  <c r="J144" i="5"/>
  <c r="I144" i="5"/>
  <c r="H144" i="5"/>
  <c r="M144" i="5" s="1"/>
  <c r="L143" i="5"/>
  <c r="K143" i="5"/>
  <c r="J143" i="5"/>
  <c r="I143" i="5"/>
  <c r="H143" i="5"/>
  <c r="M143" i="5" s="1"/>
  <c r="L142" i="5"/>
  <c r="K142" i="5"/>
  <c r="J142" i="5"/>
  <c r="I142" i="5"/>
  <c r="H142" i="5"/>
  <c r="M142" i="5" s="1"/>
  <c r="L141" i="5"/>
  <c r="K141" i="5"/>
  <c r="J141" i="5"/>
  <c r="I141" i="5"/>
  <c r="H141" i="5"/>
  <c r="M141" i="5" s="1"/>
  <c r="L140" i="5"/>
  <c r="K140" i="5"/>
  <c r="J140" i="5"/>
  <c r="I140" i="5"/>
  <c r="H140" i="5"/>
  <c r="M140" i="5" s="1"/>
  <c r="L139" i="5"/>
  <c r="K139" i="5"/>
  <c r="J139" i="5"/>
  <c r="I139" i="5"/>
  <c r="H139" i="5"/>
  <c r="M139" i="5" s="1"/>
  <c r="L138" i="5"/>
  <c r="K138" i="5"/>
  <c r="J138" i="5"/>
  <c r="I138" i="5"/>
  <c r="H138" i="5"/>
  <c r="M138" i="5" s="1"/>
  <c r="L137" i="5"/>
  <c r="K137" i="5"/>
  <c r="J137" i="5"/>
  <c r="I137" i="5"/>
  <c r="H137" i="5"/>
  <c r="M137" i="5" s="1"/>
  <c r="L136" i="5"/>
  <c r="K136" i="5"/>
  <c r="J136" i="5"/>
  <c r="I136" i="5"/>
  <c r="H136" i="5"/>
  <c r="M136" i="5" s="1"/>
  <c r="L135" i="5"/>
  <c r="K135" i="5"/>
  <c r="J135" i="5"/>
  <c r="I135" i="5"/>
  <c r="H135" i="5"/>
  <c r="M135" i="5" s="1"/>
  <c r="L134" i="5"/>
  <c r="K134" i="5"/>
  <c r="J134" i="5"/>
  <c r="I134" i="5"/>
  <c r="H134" i="5"/>
  <c r="M134" i="5" s="1"/>
  <c r="L133" i="5"/>
  <c r="K133" i="5"/>
  <c r="J133" i="5"/>
  <c r="I133" i="5"/>
  <c r="H133" i="5"/>
  <c r="M133" i="5" s="1"/>
  <c r="L132" i="5"/>
  <c r="K132" i="5"/>
  <c r="J132" i="5"/>
  <c r="I132" i="5"/>
  <c r="H132" i="5"/>
  <c r="M132" i="5" s="1"/>
  <c r="L131" i="5"/>
  <c r="K131" i="5"/>
  <c r="J131" i="5"/>
  <c r="I131" i="5"/>
  <c r="H131" i="5"/>
  <c r="M131" i="5" s="1"/>
  <c r="L130" i="5"/>
  <c r="K130" i="5"/>
  <c r="J130" i="5"/>
  <c r="I130" i="5"/>
  <c r="H130" i="5"/>
  <c r="M130" i="5" s="1"/>
  <c r="L129" i="5"/>
  <c r="K129" i="5"/>
  <c r="J129" i="5"/>
  <c r="I129" i="5"/>
  <c r="H129" i="5"/>
  <c r="M129" i="5" s="1"/>
  <c r="L128" i="5"/>
  <c r="K128" i="5"/>
  <c r="J128" i="5"/>
  <c r="I128" i="5"/>
  <c r="H128" i="5"/>
  <c r="M128" i="5" s="1"/>
  <c r="L127" i="5"/>
  <c r="K127" i="5"/>
  <c r="J127" i="5"/>
  <c r="I127" i="5"/>
  <c r="H127" i="5"/>
  <c r="M127" i="5" s="1"/>
  <c r="L126" i="5"/>
  <c r="K126" i="5"/>
  <c r="J126" i="5"/>
  <c r="I126" i="5"/>
  <c r="H126" i="5"/>
  <c r="M126" i="5" s="1"/>
  <c r="L125" i="5"/>
  <c r="K125" i="5"/>
  <c r="J125" i="5"/>
  <c r="I125" i="5"/>
  <c r="H125" i="5"/>
  <c r="M125" i="5" s="1"/>
  <c r="L124" i="5"/>
  <c r="K124" i="5"/>
  <c r="J124" i="5"/>
  <c r="I124" i="5"/>
  <c r="H124" i="5"/>
  <c r="M124" i="5" s="1"/>
  <c r="L123" i="5"/>
  <c r="K123" i="5"/>
  <c r="J123" i="5"/>
  <c r="I123" i="5"/>
  <c r="H123" i="5"/>
  <c r="M123" i="5" s="1"/>
  <c r="L122" i="5"/>
  <c r="K122" i="5"/>
  <c r="J122" i="5"/>
  <c r="I122" i="5"/>
  <c r="H122" i="5"/>
  <c r="M122" i="5" s="1"/>
  <c r="L121" i="5"/>
  <c r="K121" i="5"/>
  <c r="J121" i="5"/>
  <c r="I121" i="5"/>
  <c r="H121" i="5"/>
  <c r="M121" i="5" s="1"/>
  <c r="L120" i="5"/>
  <c r="K120" i="5"/>
  <c r="J120" i="5"/>
  <c r="I120" i="5"/>
  <c r="H120" i="5"/>
  <c r="M120" i="5" s="1"/>
  <c r="L119" i="5"/>
  <c r="K119" i="5"/>
  <c r="J119" i="5"/>
  <c r="I119" i="5"/>
  <c r="H119" i="5"/>
  <c r="M119" i="5" s="1"/>
  <c r="L118" i="5"/>
  <c r="K118" i="5"/>
  <c r="J118" i="5"/>
  <c r="I118" i="5"/>
  <c r="H118" i="5"/>
  <c r="M118" i="5" s="1"/>
  <c r="L117" i="5"/>
  <c r="K117" i="5"/>
  <c r="J117" i="5"/>
  <c r="I117" i="5"/>
  <c r="H117" i="5"/>
  <c r="M117" i="5" s="1"/>
  <c r="L116" i="5"/>
  <c r="K116" i="5"/>
  <c r="J116" i="5"/>
  <c r="I116" i="5"/>
  <c r="H116" i="5"/>
  <c r="M116" i="5" s="1"/>
  <c r="L115" i="5"/>
  <c r="K115" i="5"/>
  <c r="J115" i="5"/>
  <c r="I115" i="5"/>
  <c r="H115" i="5"/>
  <c r="M115" i="5" s="1"/>
  <c r="L114" i="5"/>
  <c r="K114" i="5"/>
  <c r="J114" i="5"/>
  <c r="I114" i="5"/>
  <c r="H114" i="5"/>
  <c r="L113" i="5"/>
  <c r="K113" i="5"/>
  <c r="J113" i="5"/>
  <c r="I113" i="5"/>
  <c r="H113" i="5"/>
  <c r="M113" i="5" s="1"/>
  <c r="L112" i="5"/>
  <c r="K112" i="5"/>
  <c r="J112" i="5"/>
  <c r="I112" i="5"/>
  <c r="H112" i="5"/>
  <c r="M112" i="5" s="1"/>
  <c r="M111" i="5"/>
  <c r="L111" i="5"/>
  <c r="K111" i="5"/>
  <c r="J111" i="5"/>
  <c r="I111" i="5"/>
  <c r="H111" i="5"/>
  <c r="L110" i="5"/>
  <c r="K110" i="5"/>
  <c r="J110" i="5"/>
  <c r="I110" i="5"/>
  <c r="H110" i="5"/>
  <c r="M110" i="5" s="1"/>
  <c r="L109" i="5"/>
  <c r="K109" i="5"/>
  <c r="J109" i="5"/>
  <c r="I109" i="5"/>
  <c r="H109" i="5"/>
  <c r="M109" i="5" s="1"/>
  <c r="L108" i="5"/>
  <c r="K108" i="5"/>
  <c r="J108" i="5"/>
  <c r="I108" i="5"/>
  <c r="H108" i="5"/>
  <c r="M108" i="5" s="1"/>
  <c r="L107" i="5"/>
  <c r="K107" i="5"/>
  <c r="J107" i="5"/>
  <c r="I107" i="5"/>
  <c r="H107" i="5"/>
  <c r="M107" i="5" s="1"/>
  <c r="L106" i="5"/>
  <c r="K106" i="5"/>
  <c r="J106" i="5"/>
  <c r="I106" i="5"/>
  <c r="H106" i="5"/>
  <c r="M106" i="5" s="1"/>
  <c r="L105" i="5"/>
  <c r="K105" i="5"/>
  <c r="J105" i="5"/>
  <c r="I105" i="5"/>
  <c r="H105" i="5"/>
  <c r="M105" i="5" s="1"/>
  <c r="L104" i="5"/>
  <c r="K104" i="5"/>
  <c r="J104" i="5"/>
  <c r="I104" i="5"/>
  <c r="H104" i="5"/>
  <c r="M104" i="5" s="1"/>
  <c r="L103" i="5"/>
  <c r="K103" i="5"/>
  <c r="J103" i="5"/>
  <c r="I103" i="5"/>
  <c r="H103" i="5"/>
  <c r="M103" i="5" s="1"/>
  <c r="L102" i="5"/>
  <c r="K102" i="5"/>
  <c r="J102" i="5"/>
  <c r="I102" i="5"/>
  <c r="H102" i="5"/>
  <c r="M102" i="5" s="1"/>
  <c r="L101" i="5"/>
  <c r="K101" i="5"/>
  <c r="J101" i="5"/>
  <c r="I101" i="5"/>
  <c r="H101" i="5"/>
  <c r="M101" i="5" s="1"/>
  <c r="L100" i="5"/>
  <c r="K100" i="5"/>
  <c r="J100" i="5"/>
  <c r="I100" i="5"/>
  <c r="H100" i="5"/>
  <c r="M100" i="5" s="1"/>
  <c r="L99" i="5"/>
  <c r="K99" i="5"/>
  <c r="J99" i="5"/>
  <c r="I99" i="5"/>
  <c r="H99" i="5"/>
  <c r="M99" i="5" s="1"/>
  <c r="L98" i="5"/>
  <c r="K98" i="5"/>
  <c r="J98" i="5"/>
  <c r="I98" i="5"/>
  <c r="H98" i="5"/>
  <c r="M98" i="5" s="1"/>
  <c r="L97" i="5"/>
  <c r="K97" i="5"/>
  <c r="J97" i="5"/>
  <c r="I97" i="5"/>
  <c r="H97" i="5"/>
  <c r="M97" i="5" s="1"/>
  <c r="L96" i="5"/>
  <c r="K96" i="5"/>
  <c r="J96" i="5"/>
  <c r="I96" i="5"/>
  <c r="H96" i="5"/>
  <c r="M96" i="5" s="1"/>
  <c r="L95" i="5"/>
  <c r="K95" i="5"/>
  <c r="J95" i="5"/>
  <c r="I95" i="5"/>
  <c r="H95" i="5"/>
  <c r="M95" i="5" s="1"/>
  <c r="L94" i="5"/>
  <c r="K94" i="5"/>
  <c r="J94" i="5"/>
  <c r="I94" i="5"/>
  <c r="H94" i="5"/>
  <c r="M94" i="5" s="1"/>
  <c r="L93" i="5"/>
  <c r="K93" i="5"/>
  <c r="J93" i="5"/>
  <c r="I93" i="5"/>
  <c r="H93" i="5"/>
  <c r="M93" i="5" s="1"/>
  <c r="L92" i="5"/>
  <c r="K92" i="5"/>
  <c r="J92" i="5"/>
  <c r="I92" i="5"/>
  <c r="H92" i="5"/>
  <c r="M92" i="5" s="1"/>
  <c r="L91" i="5"/>
  <c r="K91" i="5"/>
  <c r="J91" i="5"/>
  <c r="I91" i="5"/>
  <c r="H91" i="5"/>
  <c r="M91" i="5" s="1"/>
  <c r="L90" i="5"/>
  <c r="K90" i="5"/>
  <c r="J90" i="5"/>
  <c r="I90" i="5"/>
  <c r="H90" i="5"/>
  <c r="M90" i="5" s="1"/>
  <c r="L89" i="5"/>
  <c r="K89" i="5"/>
  <c r="J89" i="5"/>
  <c r="I89" i="5"/>
  <c r="H89" i="5"/>
  <c r="M89" i="5" s="1"/>
  <c r="L88" i="5"/>
  <c r="K88" i="5"/>
  <c r="J88" i="5"/>
  <c r="I88" i="5"/>
  <c r="H88" i="5"/>
  <c r="M88" i="5" s="1"/>
  <c r="L87" i="5"/>
  <c r="K87" i="5"/>
  <c r="J87" i="5"/>
  <c r="I87" i="5"/>
  <c r="H87" i="5"/>
  <c r="M87" i="5" s="1"/>
  <c r="L86" i="5"/>
  <c r="K86" i="5"/>
  <c r="J86" i="5"/>
  <c r="I86" i="5"/>
  <c r="H86" i="5"/>
  <c r="M86" i="5" s="1"/>
  <c r="L85" i="5"/>
  <c r="K85" i="5"/>
  <c r="J85" i="5"/>
  <c r="I85" i="5"/>
  <c r="H85" i="5"/>
  <c r="M85" i="5" s="1"/>
  <c r="L84" i="5"/>
  <c r="K84" i="5"/>
  <c r="J84" i="5"/>
  <c r="I84" i="5"/>
  <c r="H84" i="5"/>
  <c r="M84" i="5" s="1"/>
  <c r="L83" i="5"/>
  <c r="K83" i="5"/>
  <c r="J83" i="5"/>
  <c r="I83" i="5"/>
  <c r="H83" i="5"/>
  <c r="M83" i="5" s="1"/>
  <c r="L82" i="5"/>
  <c r="K82" i="5"/>
  <c r="J82" i="5"/>
  <c r="I82" i="5"/>
  <c r="H82" i="5"/>
  <c r="M82" i="5" s="1"/>
  <c r="L81" i="5"/>
  <c r="K81" i="5"/>
  <c r="J81" i="5"/>
  <c r="I81" i="5"/>
  <c r="H81" i="5"/>
  <c r="M81" i="5" s="1"/>
  <c r="L80" i="5"/>
  <c r="K80" i="5"/>
  <c r="J80" i="5"/>
  <c r="I80" i="5"/>
  <c r="H80" i="5"/>
  <c r="M80" i="5" s="1"/>
  <c r="L79" i="5"/>
  <c r="K79" i="5"/>
  <c r="J79" i="5"/>
  <c r="I79" i="5"/>
  <c r="H79" i="5"/>
  <c r="M79" i="5" s="1"/>
  <c r="L78" i="5"/>
  <c r="K78" i="5"/>
  <c r="J78" i="5"/>
  <c r="I78" i="5"/>
  <c r="H78" i="5"/>
  <c r="M78" i="5" s="1"/>
  <c r="L77" i="5"/>
  <c r="K77" i="5"/>
  <c r="J77" i="5"/>
  <c r="I77" i="5"/>
  <c r="H77" i="5"/>
  <c r="M77" i="5" s="1"/>
  <c r="L76" i="5"/>
  <c r="K76" i="5"/>
  <c r="J76" i="5"/>
  <c r="I76" i="5"/>
  <c r="H76" i="5"/>
  <c r="M76" i="5" s="1"/>
  <c r="L75" i="5"/>
  <c r="K75" i="5"/>
  <c r="J75" i="5"/>
  <c r="I75" i="5"/>
  <c r="H75" i="5"/>
  <c r="M75" i="5" s="1"/>
  <c r="L74" i="5"/>
  <c r="K74" i="5"/>
  <c r="J74" i="5"/>
  <c r="I74" i="5"/>
  <c r="H74" i="5"/>
  <c r="M74" i="5" s="1"/>
  <c r="L73" i="5"/>
  <c r="K73" i="5"/>
  <c r="J73" i="5"/>
  <c r="I73" i="5"/>
  <c r="H73" i="5"/>
  <c r="M73" i="5" s="1"/>
  <c r="L72" i="5"/>
  <c r="K72" i="5"/>
  <c r="J72" i="5"/>
  <c r="I72" i="5"/>
  <c r="H72" i="5"/>
  <c r="M72" i="5" s="1"/>
  <c r="L71" i="5"/>
  <c r="K71" i="5"/>
  <c r="J71" i="5"/>
  <c r="I71" i="5"/>
  <c r="H71" i="5"/>
  <c r="M71" i="5" s="1"/>
  <c r="M70" i="5"/>
  <c r="L70" i="5"/>
  <c r="K70" i="5"/>
  <c r="J70" i="5"/>
  <c r="I70" i="5"/>
  <c r="H70" i="5"/>
  <c r="L69" i="5"/>
  <c r="K69" i="5"/>
  <c r="J69" i="5"/>
  <c r="I69" i="5"/>
  <c r="H69" i="5"/>
  <c r="M69" i="5" s="1"/>
  <c r="L68" i="5"/>
  <c r="K68" i="5"/>
  <c r="J68" i="5"/>
  <c r="I68" i="5"/>
  <c r="H68" i="5"/>
  <c r="M68" i="5" s="1"/>
  <c r="L67" i="5"/>
  <c r="K67" i="5"/>
  <c r="J67" i="5"/>
  <c r="I67" i="5"/>
  <c r="H67" i="5"/>
  <c r="M67" i="5" s="1"/>
  <c r="L66" i="5"/>
  <c r="K66" i="5"/>
  <c r="J66" i="5"/>
  <c r="I66" i="5"/>
  <c r="H66" i="5"/>
  <c r="M66" i="5" s="1"/>
  <c r="M65" i="5"/>
  <c r="L65" i="5"/>
  <c r="K65" i="5"/>
  <c r="J65" i="5"/>
  <c r="I65" i="5"/>
  <c r="H65" i="5"/>
  <c r="L64" i="5"/>
  <c r="K64" i="5"/>
  <c r="J64" i="5"/>
  <c r="I64" i="5"/>
  <c r="H64" i="5"/>
  <c r="M64" i="5" s="1"/>
  <c r="L63" i="5"/>
  <c r="K63" i="5"/>
  <c r="J63" i="5"/>
  <c r="I63" i="5"/>
  <c r="H63" i="5"/>
  <c r="M63" i="5" s="1"/>
  <c r="L62" i="5"/>
  <c r="K62" i="5"/>
  <c r="J62" i="5"/>
  <c r="I62" i="5"/>
  <c r="H62" i="5"/>
  <c r="M62" i="5" s="1"/>
  <c r="L61" i="5"/>
  <c r="K61" i="5"/>
  <c r="J61" i="5"/>
  <c r="I61" i="5"/>
  <c r="H61" i="5"/>
  <c r="M61" i="5" s="1"/>
  <c r="L60" i="5"/>
  <c r="K60" i="5"/>
  <c r="J60" i="5"/>
  <c r="I60" i="5"/>
  <c r="H60" i="5"/>
  <c r="M60" i="5" s="1"/>
  <c r="L59" i="5"/>
  <c r="K59" i="5"/>
  <c r="J59" i="5"/>
  <c r="I59" i="5"/>
  <c r="H59" i="5"/>
  <c r="M59" i="5" s="1"/>
  <c r="L58" i="5"/>
  <c r="K58" i="5"/>
  <c r="J58" i="5"/>
  <c r="I58" i="5"/>
  <c r="H58" i="5"/>
  <c r="M58" i="5" s="1"/>
  <c r="L57" i="5"/>
  <c r="K57" i="5"/>
  <c r="J57" i="5"/>
  <c r="I57" i="5"/>
  <c r="H57" i="5"/>
  <c r="M57" i="5" s="1"/>
  <c r="L56" i="5"/>
  <c r="K56" i="5"/>
  <c r="J56" i="5"/>
  <c r="I56" i="5"/>
  <c r="H56" i="5"/>
  <c r="M56" i="5" s="1"/>
  <c r="L55" i="5"/>
  <c r="K55" i="5"/>
  <c r="J55" i="5"/>
  <c r="I55" i="5"/>
  <c r="H55" i="5"/>
  <c r="L54" i="5"/>
  <c r="K54" i="5"/>
  <c r="J54" i="5"/>
  <c r="I54" i="5"/>
  <c r="H54" i="5"/>
  <c r="L53" i="5"/>
  <c r="K53" i="5"/>
  <c r="J53" i="5"/>
  <c r="I53" i="5"/>
  <c r="H53" i="5"/>
  <c r="M53" i="5" s="1"/>
  <c r="L52" i="5"/>
  <c r="K52" i="5"/>
  <c r="J52" i="5"/>
  <c r="I52" i="5"/>
  <c r="H52" i="5"/>
  <c r="M52" i="5" s="1"/>
  <c r="L51" i="5"/>
  <c r="K51" i="5"/>
  <c r="J51" i="5"/>
  <c r="I51" i="5"/>
  <c r="H51" i="5"/>
  <c r="M51" i="5" s="1"/>
  <c r="L50" i="5"/>
  <c r="K50" i="5"/>
  <c r="J50" i="5"/>
  <c r="I50" i="5"/>
  <c r="H50" i="5"/>
  <c r="M50" i="5" s="1"/>
  <c r="L49" i="5"/>
  <c r="K49" i="5"/>
  <c r="J49" i="5"/>
  <c r="I49" i="5"/>
  <c r="H49" i="5"/>
  <c r="L48" i="5"/>
  <c r="K48" i="5"/>
  <c r="J48" i="5"/>
  <c r="I48" i="5"/>
  <c r="H48" i="5"/>
  <c r="M48" i="5" s="1"/>
  <c r="L47" i="5"/>
  <c r="K47" i="5"/>
  <c r="J47" i="5"/>
  <c r="I47" i="5"/>
  <c r="H47" i="5"/>
  <c r="M47" i="5" s="1"/>
  <c r="L46" i="5"/>
  <c r="K46" i="5"/>
  <c r="J46" i="5"/>
  <c r="I46" i="5"/>
  <c r="H46" i="5"/>
  <c r="M46" i="5" s="1"/>
  <c r="L45" i="5"/>
  <c r="K45" i="5"/>
  <c r="J45" i="5"/>
  <c r="I45" i="5"/>
  <c r="H45" i="5"/>
  <c r="M45" i="5" s="1"/>
  <c r="L44" i="5"/>
  <c r="K44" i="5"/>
  <c r="J44" i="5"/>
  <c r="I44" i="5"/>
  <c r="H44" i="5"/>
  <c r="M44" i="5" s="1"/>
  <c r="L43" i="5"/>
  <c r="K43" i="5"/>
  <c r="J43" i="5"/>
  <c r="I43" i="5"/>
  <c r="H43" i="5"/>
  <c r="M43" i="5" s="1"/>
  <c r="L42" i="5"/>
  <c r="K42" i="5"/>
  <c r="J42" i="5"/>
  <c r="I42" i="5"/>
  <c r="H42" i="5"/>
  <c r="M42" i="5" s="1"/>
  <c r="L41" i="5"/>
  <c r="K41" i="5"/>
  <c r="J41" i="5"/>
  <c r="I41" i="5"/>
  <c r="H41" i="5"/>
  <c r="M41" i="5" s="1"/>
  <c r="L40" i="5"/>
  <c r="K40" i="5"/>
  <c r="J40" i="5"/>
  <c r="I40" i="5"/>
  <c r="H40" i="5"/>
  <c r="M40" i="5" s="1"/>
  <c r="L39" i="5"/>
  <c r="K39" i="5"/>
  <c r="J39" i="5"/>
  <c r="I39" i="5"/>
  <c r="H39" i="5"/>
  <c r="M39" i="5" s="1"/>
  <c r="L38" i="5"/>
  <c r="K38" i="5"/>
  <c r="J38" i="5"/>
  <c r="I38" i="5"/>
  <c r="H38" i="5"/>
  <c r="M38" i="5" s="1"/>
  <c r="L37" i="5"/>
  <c r="K37" i="5"/>
  <c r="J37" i="5"/>
  <c r="I37" i="5"/>
  <c r="H37" i="5"/>
  <c r="M37" i="5" s="1"/>
  <c r="L36" i="5"/>
  <c r="K36" i="5"/>
  <c r="J36" i="5"/>
  <c r="I36" i="5"/>
  <c r="H36" i="5"/>
  <c r="M36" i="5" s="1"/>
  <c r="L35" i="5"/>
  <c r="K35" i="5"/>
  <c r="J35" i="5"/>
  <c r="I35" i="5"/>
  <c r="H35" i="5"/>
  <c r="M35" i="5" s="1"/>
  <c r="L34" i="5"/>
  <c r="K34" i="5"/>
  <c r="J34" i="5"/>
  <c r="I34" i="5"/>
  <c r="H34" i="5"/>
  <c r="M34" i="5" s="1"/>
  <c r="L33" i="5"/>
  <c r="K33" i="5"/>
  <c r="J33" i="5"/>
  <c r="I33" i="5"/>
  <c r="H33" i="5"/>
  <c r="M33" i="5" s="1"/>
  <c r="L32" i="5"/>
  <c r="K32" i="5"/>
  <c r="J32" i="5"/>
  <c r="I32" i="5"/>
  <c r="H32" i="5"/>
  <c r="M32" i="5" s="1"/>
  <c r="L31" i="5"/>
  <c r="K31" i="5"/>
  <c r="J31" i="5"/>
  <c r="I31" i="5"/>
  <c r="H31" i="5"/>
  <c r="M31" i="5" s="1"/>
  <c r="L30" i="5"/>
  <c r="K30" i="5"/>
  <c r="J30" i="5"/>
  <c r="I30" i="5"/>
  <c r="H30" i="5"/>
  <c r="L29" i="5"/>
  <c r="K29" i="5"/>
  <c r="J29" i="5"/>
  <c r="I29" i="5"/>
  <c r="H29" i="5"/>
  <c r="M29" i="5" s="1"/>
  <c r="L28" i="5"/>
  <c r="K28" i="5"/>
  <c r="J28" i="5"/>
  <c r="I28" i="5"/>
  <c r="H28" i="5"/>
  <c r="M28" i="5" s="1"/>
  <c r="L27" i="5"/>
  <c r="K27" i="5"/>
  <c r="J27" i="5"/>
  <c r="I27" i="5"/>
  <c r="H27" i="5"/>
  <c r="M27" i="5" s="1"/>
  <c r="L26" i="5"/>
  <c r="K26" i="5"/>
  <c r="J26" i="5"/>
  <c r="I26" i="5"/>
  <c r="H26" i="5"/>
  <c r="M26" i="5" s="1"/>
  <c r="L25" i="5"/>
  <c r="K25" i="5"/>
  <c r="J25" i="5"/>
  <c r="I25" i="5"/>
  <c r="H25" i="5"/>
  <c r="M25" i="5" s="1"/>
  <c r="L24" i="5"/>
  <c r="K24" i="5"/>
  <c r="J24" i="5"/>
  <c r="I24" i="5"/>
  <c r="H24" i="5"/>
  <c r="M24" i="5" s="1"/>
  <c r="L23" i="5"/>
  <c r="K23" i="5"/>
  <c r="J23" i="5"/>
  <c r="I23" i="5"/>
  <c r="H23" i="5"/>
  <c r="M23" i="5" s="1"/>
  <c r="L22" i="5"/>
  <c r="K22" i="5"/>
  <c r="J22" i="5"/>
  <c r="I22" i="5"/>
  <c r="H22" i="5"/>
  <c r="M22" i="5" s="1"/>
  <c r="L21" i="5"/>
  <c r="K21" i="5"/>
  <c r="J21" i="5"/>
  <c r="I21" i="5"/>
  <c r="H21" i="5"/>
  <c r="M21" i="5" s="1"/>
  <c r="L20" i="5"/>
  <c r="K20" i="5"/>
  <c r="J20" i="5"/>
  <c r="I20" i="5"/>
  <c r="H20" i="5"/>
  <c r="M20" i="5" s="1"/>
  <c r="L19" i="5"/>
  <c r="K19" i="5"/>
  <c r="J19" i="5"/>
  <c r="I19" i="5"/>
  <c r="H19" i="5"/>
  <c r="M19" i="5" s="1"/>
  <c r="V18" i="5"/>
  <c r="L18" i="5"/>
  <c r="K18" i="5"/>
  <c r="J18" i="5"/>
  <c r="I18" i="5"/>
  <c r="H18" i="5"/>
  <c r="M18" i="5" s="1"/>
  <c r="L17" i="5"/>
  <c r="K17" i="5"/>
  <c r="J17" i="5"/>
  <c r="I17" i="5"/>
  <c r="H17" i="5"/>
  <c r="M17" i="5" s="1"/>
  <c r="L16" i="5"/>
  <c r="K16" i="5"/>
  <c r="J16" i="5"/>
  <c r="I16" i="5"/>
  <c r="H16" i="5"/>
  <c r="M16" i="5" s="1"/>
  <c r="L15" i="5"/>
  <c r="K15" i="5"/>
  <c r="J15" i="5"/>
  <c r="I15" i="5"/>
  <c r="H15" i="5"/>
  <c r="M15" i="5" s="1"/>
  <c r="L14" i="5"/>
  <c r="K14" i="5"/>
  <c r="J14" i="5"/>
  <c r="I14" i="5"/>
  <c r="H14" i="5"/>
  <c r="M14" i="5" s="1"/>
  <c r="L13" i="5"/>
  <c r="K13" i="5"/>
  <c r="J13" i="5"/>
  <c r="I13" i="5"/>
  <c r="H13" i="5"/>
  <c r="M13" i="5" s="1"/>
  <c r="L12" i="5"/>
  <c r="K12" i="5"/>
  <c r="J12" i="5"/>
  <c r="I12" i="5"/>
  <c r="H12" i="5"/>
  <c r="M12" i="5" s="1"/>
  <c r="L11" i="5"/>
  <c r="K11" i="5"/>
  <c r="J11" i="5"/>
  <c r="I11" i="5"/>
  <c r="H11" i="5"/>
  <c r="M11" i="5" s="1"/>
  <c r="L10" i="5"/>
  <c r="K10" i="5"/>
  <c r="J10" i="5"/>
  <c r="I10" i="5"/>
  <c r="H10" i="5"/>
  <c r="M10" i="5" s="1"/>
  <c r="L9" i="5"/>
  <c r="K9" i="5"/>
  <c r="J9" i="5"/>
  <c r="I9" i="5"/>
  <c r="H9" i="5"/>
  <c r="M9" i="5" s="1"/>
  <c r="L8" i="5"/>
  <c r="K8" i="5"/>
  <c r="J8" i="5"/>
  <c r="I8" i="5"/>
  <c r="H8" i="5"/>
  <c r="M8" i="5" s="1"/>
  <c r="L7" i="5"/>
  <c r="K7" i="5"/>
  <c r="J7" i="5"/>
  <c r="I7" i="5"/>
  <c r="H7" i="5"/>
  <c r="M7" i="5" s="1"/>
  <c r="L6" i="5"/>
  <c r="K6" i="5"/>
  <c r="J6" i="5"/>
  <c r="I6" i="5"/>
  <c r="H6" i="5"/>
  <c r="M6" i="5" s="1"/>
  <c r="O56" i="3"/>
  <c r="N56" i="3"/>
  <c r="J56" i="3"/>
  <c r="H56" i="3"/>
  <c r="E56" i="3"/>
  <c r="D56" i="3"/>
  <c r="C56" i="3"/>
  <c r="B56" i="3"/>
  <c r="A56" i="3"/>
  <c r="O55" i="3"/>
  <c r="N55" i="3"/>
  <c r="J55" i="3"/>
  <c r="H55" i="3"/>
  <c r="E55" i="3"/>
  <c r="D55" i="3"/>
  <c r="C55" i="3"/>
  <c r="B55" i="3"/>
  <c r="A55" i="3"/>
  <c r="O54" i="3"/>
  <c r="N54" i="3"/>
  <c r="J54" i="3"/>
  <c r="H54" i="3"/>
  <c r="E54" i="3"/>
  <c r="D54" i="3"/>
  <c r="C54" i="3"/>
  <c r="B54" i="3"/>
  <c r="A54" i="3"/>
  <c r="O53" i="3"/>
  <c r="N53" i="3"/>
  <c r="J53" i="3"/>
  <c r="H53" i="3"/>
  <c r="E53" i="3"/>
  <c r="D53" i="3"/>
  <c r="C53" i="3"/>
  <c r="B53" i="3"/>
  <c r="A53" i="3"/>
  <c r="O52" i="3"/>
  <c r="N52" i="3"/>
  <c r="J52" i="3"/>
  <c r="H52" i="3"/>
  <c r="E52" i="3"/>
  <c r="D52" i="3"/>
  <c r="C52" i="3"/>
  <c r="B52" i="3"/>
  <c r="A52" i="3"/>
  <c r="O51" i="3"/>
  <c r="N51" i="3"/>
  <c r="J51" i="3"/>
  <c r="H51" i="3"/>
  <c r="E51" i="3"/>
  <c r="D51" i="3"/>
  <c r="C51" i="3"/>
  <c r="B51" i="3"/>
  <c r="A51" i="3"/>
  <c r="O50" i="3"/>
  <c r="N50" i="3"/>
  <c r="J50" i="3"/>
  <c r="H50" i="3"/>
  <c r="E50" i="3"/>
  <c r="D50" i="3"/>
  <c r="C50" i="3"/>
  <c r="B50" i="3"/>
  <c r="A50" i="3"/>
  <c r="O49" i="3"/>
  <c r="N49" i="3"/>
  <c r="J49" i="3"/>
  <c r="H49" i="3"/>
  <c r="E49" i="3"/>
  <c r="D49" i="3"/>
  <c r="C49" i="3"/>
  <c r="B49" i="3"/>
  <c r="A49" i="3"/>
  <c r="O48" i="3"/>
  <c r="N48" i="3"/>
  <c r="J48" i="3"/>
  <c r="H48" i="3"/>
  <c r="E48" i="3"/>
  <c r="D48" i="3"/>
  <c r="C48" i="3"/>
  <c r="B48" i="3"/>
  <c r="A48" i="3"/>
  <c r="O47" i="3"/>
  <c r="N47" i="3"/>
  <c r="J47" i="3"/>
  <c r="H47" i="3"/>
  <c r="E47" i="3"/>
  <c r="D47" i="3"/>
  <c r="C47" i="3"/>
  <c r="B47" i="3"/>
  <c r="A47" i="3"/>
  <c r="O46" i="3"/>
  <c r="N46" i="3"/>
  <c r="J46" i="3"/>
  <c r="H46" i="3"/>
  <c r="E46" i="3"/>
  <c r="D46" i="3"/>
  <c r="C46" i="3"/>
  <c r="B46" i="3"/>
  <c r="A46" i="3"/>
  <c r="O45" i="3"/>
  <c r="N45" i="3"/>
  <c r="J45" i="3"/>
  <c r="H45" i="3"/>
  <c r="E45" i="3"/>
  <c r="D45" i="3"/>
  <c r="C45" i="3"/>
  <c r="B45" i="3"/>
  <c r="A45" i="3"/>
  <c r="O44" i="3"/>
  <c r="N44" i="3"/>
  <c r="J44" i="3"/>
  <c r="H44" i="3"/>
  <c r="E44" i="3"/>
  <c r="D44" i="3"/>
  <c r="C44" i="3"/>
  <c r="B44" i="3"/>
  <c r="A44" i="3"/>
  <c r="O43" i="3"/>
  <c r="N43" i="3"/>
  <c r="J43" i="3"/>
  <c r="H43" i="3"/>
  <c r="E43" i="3"/>
  <c r="D43" i="3"/>
  <c r="C43" i="3"/>
  <c r="B43" i="3"/>
  <c r="A43" i="3"/>
  <c r="O42" i="3"/>
  <c r="N42" i="3"/>
  <c r="J42" i="3"/>
  <c r="H42" i="3"/>
  <c r="E42" i="3"/>
  <c r="D42" i="3"/>
  <c r="C42" i="3"/>
  <c r="B42" i="3"/>
  <c r="A42" i="3"/>
  <c r="O41" i="3"/>
  <c r="N41" i="3"/>
  <c r="J41" i="3"/>
  <c r="H41" i="3"/>
  <c r="E41" i="3"/>
  <c r="D41" i="3"/>
  <c r="C41" i="3"/>
  <c r="B41" i="3"/>
  <c r="A41" i="3"/>
  <c r="O40" i="3"/>
  <c r="N40" i="3"/>
  <c r="J40" i="3"/>
  <c r="H40" i="3"/>
  <c r="E40" i="3"/>
  <c r="D40" i="3"/>
  <c r="C40" i="3"/>
  <c r="B40" i="3"/>
  <c r="A40" i="3"/>
  <c r="O39" i="3"/>
  <c r="N39" i="3"/>
  <c r="J39" i="3"/>
  <c r="H39" i="3"/>
  <c r="E39" i="3"/>
  <c r="D39" i="3"/>
  <c r="C39" i="3"/>
  <c r="B39" i="3"/>
  <c r="A39" i="3"/>
  <c r="O38" i="3"/>
  <c r="N38" i="3"/>
  <c r="J38" i="3"/>
  <c r="H38" i="3"/>
  <c r="E38" i="3"/>
  <c r="D38" i="3"/>
  <c r="C38" i="3"/>
  <c r="B38" i="3"/>
  <c r="A38" i="3"/>
  <c r="O37" i="3"/>
  <c r="N37" i="3"/>
  <c r="J37" i="3"/>
  <c r="H37" i="3"/>
  <c r="E37" i="3"/>
  <c r="D37" i="3"/>
  <c r="C37" i="3"/>
  <c r="B37" i="3"/>
  <c r="A37" i="3"/>
  <c r="O36" i="3"/>
  <c r="N36" i="3"/>
  <c r="J36" i="3"/>
  <c r="H36" i="3"/>
  <c r="E36" i="3"/>
  <c r="D36" i="3"/>
  <c r="C36" i="3"/>
  <c r="B36" i="3"/>
  <c r="A36" i="3"/>
  <c r="O35" i="3"/>
  <c r="N35" i="3"/>
  <c r="J35" i="3"/>
  <c r="H35" i="3"/>
  <c r="E35" i="3"/>
  <c r="D35" i="3"/>
  <c r="C35" i="3"/>
  <c r="B35" i="3"/>
  <c r="A35" i="3"/>
  <c r="O34" i="3"/>
  <c r="N34" i="3"/>
  <c r="J34" i="3"/>
  <c r="H34" i="3"/>
  <c r="E34" i="3"/>
  <c r="D34" i="3"/>
  <c r="C34" i="3"/>
  <c r="B34" i="3"/>
  <c r="A34" i="3"/>
  <c r="O33" i="3"/>
  <c r="N33" i="3"/>
  <c r="J33" i="3"/>
  <c r="H33" i="3"/>
  <c r="E33" i="3"/>
  <c r="D33" i="3"/>
  <c r="C33" i="3"/>
  <c r="B33" i="3"/>
  <c r="A33" i="3"/>
  <c r="O32" i="3"/>
  <c r="N32" i="3"/>
  <c r="J32" i="3"/>
  <c r="H32" i="3"/>
  <c r="E32" i="3"/>
  <c r="D32" i="3"/>
  <c r="C32" i="3"/>
  <c r="B32" i="3"/>
  <c r="A32" i="3"/>
  <c r="O31" i="3"/>
  <c r="N31" i="3"/>
  <c r="J31" i="3"/>
  <c r="H31" i="3"/>
  <c r="E31" i="3"/>
  <c r="D31" i="3"/>
  <c r="C31" i="3"/>
  <c r="B31" i="3"/>
  <c r="A31" i="3"/>
  <c r="O30" i="3"/>
  <c r="N30" i="3"/>
  <c r="J30" i="3"/>
  <c r="H30" i="3"/>
  <c r="E30" i="3"/>
  <c r="D30" i="3"/>
  <c r="C30" i="3"/>
  <c r="B30" i="3"/>
  <c r="A30" i="3"/>
  <c r="O29" i="3"/>
  <c r="N29" i="3"/>
  <c r="J29" i="3"/>
  <c r="H29" i="3"/>
  <c r="E29" i="3"/>
  <c r="D29" i="3"/>
  <c r="C29" i="3"/>
  <c r="B29" i="3"/>
  <c r="A29" i="3"/>
  <c r="O28" i="3"/>
  <c r="N28" i="3"/>
  <c r="J28" i="3"/>
  <c r="H28" i="3"/>
  <c r="E28" i="3"/>
  <c r="D28" i="3"/>
  <c r="C28" i="3"/>
  <c r="B28" i="3"/>
  <c r="A28" i="3"/>
  <c r="O27" i="3"/>
  <c r="N27" i="3"/>
  <c r="J27" i="3"/>
  <c r="H27" i="3"/>
  <c r="E27" i="3"/>
  <c r="D27" i="3"/>
  <c r="C27" i="3"/>
  <c r="B27" i="3"/>
  <c r="A27" i="3"/>
  <c r="O26" i="3"/>
  <c r="N26" i="3"/>
  <c r="J26" i="3"/>
  <c r="H26" i="3"/>
  <c r="E26" i="3"/>
  <c r="D26" i="3"/>
  <c r="C26" i="3"/>
  <c r="B26" i="3"/>
  <c r="A26" i="3"/>
  <c r="O25" i="3"/>
  <c r="N25" i="3"/>
  <c r="J25" i="3"/>
  <c r="H25" i="3"/>
  <c r="E25" i="3"/>
  <c r="D25" i="3"/>
  <c r="C25" i="3"/>
  <c r="B25" i="3"/>
  <c r="A25" i="3"/>
  <c r="O24" i="3"/>
  <c r="N24" i="3"/>
  <c r="J24" i="3"/>
  <c r="H24" i="3"/>
  <c r="E24" i="3"/>
  <c r="D24" i="3"/>
  <c r="C24" i="3"/>
  <c r="B24" i="3"/>
  <c r="A24" i="3"/>
  <c r="O23" i="3"/>
  <c r="N23" i="3"/>
  <c r="J23" i="3"/>
  <c r="H23" i="3"/>
  <c r="E23" i="3"/>
  <c r="D23" i="3"/>
  <c r="C23" i="3"/>
  <c r="B23" i="3"/>
  <c r="A23" i="3"/>
  <c r="O22" i="3"/>
  <c r="N22" i="3"/>
  <c r="J22" i="3"/>
  <c r="H22" i="3"/>
  <c r="E22" i="3"/>
  <c r="D22" i="3"/>
  <c r="C22" i="3"/>
  <c r="B22" i="3"/>
  <c r="A22" i="3"/>
  <c r="O21" i="3"/>
  <c r="N21" i="3"/>
  <c r="J21" i="3"/>
  <c r="H21" i="3"/>
  <c r="E21" i="3"/>
  <c r="D21" i="3"/>
  <c r="C21" i="3"/>
  <c r="B21" i="3"/>
  <c r="A21" i="3"/>
  <c r="O20" i="3"/>
  <c r="N20" i="3"/>
  <c r="J20" i="3"/>
  <c r="H20" i="3"/>
  <c r="E20" i="3"/>
  <c r="D20" i="3"/>
  <c r="C20" i="3"/>
  <c r="B20" i="3"/>
  <c r="A20" i="3"/>
  <c r="O19" i="3"/>
  <c r="N19" i="3"/>
  <c r="J19" i="3"/>
  <c r="H19" i="3"/>
  <c r="E19" i="3"/>
  <c r="D19" i="3"/>
  <c r="C19" i="3"/>
  <c r="B19" i="3"/>
  <c r="A19" i="3"/>
  <c r="O18" i="3"/>
  <c r="N18" i="3"/>
  <c r="J18" i="3"/>
  <c r="H18" i="3"/>
  <c r="E18" i="3"/>
  <c r="D18" i="3"/>
  <c r="C18" i="3"/>
  <c r="B18" i="3"/>
  <c r="A18" i="3"/>
  <c r="O17" i="3"/>
  <c r="N17" i="3"/>
  <c r="J17" i="3"/>
  <c r="H17" i="3"/>
  <c r="E17" i="3"/>
  <c r="D17" i="3"/>
  <c r="C17" i="3"/>
  <c r="B17" i="3"/>
  <c r="A17" i="3"/>
  <c r="K51" i="2"/>
  <c r="I56" i="3" s="1"/>
  <c r="J51" i="2"/>
  <c r="F56" i="3" s="1"/>
  <c r="G56" i="3" s="1"/>
  <c r="K50" i="2"/>
  <c r="I55" i="3" s="1"/>
  <c r="J50" i="2"/>
  <c r="F55" i="3" s="1"/>
  <c r="G55" i="3" s="1"/>
  <c r="K49" i="2"/>
  <c r="I54" i="3" s="1"/>
  <c r="J49" i="2"/>
  <c r="F54" i="3" s="1"/>
  <c r="G54" i="3" s="1"/>
  <c r="K48" i="2"/>
  <c r="I53" i="3" s="1"/>
  <c r="J48" i="2"/>
  <c r="F53" i="3" s="1"/>
  <c r="G53" i="3" s="1"/>
  <c r="K47" i="2"/>
  <c r="I52" i="3" s="1"/>
  <c r="J47" i="2"/>
  <c r="F52" i="3" s="1"/>
  <c r="G52" i="3" s="1"/>
  <c r="K46" i="2"/>
  <c r="I51" i="3" s="1"/>
  <c r="J46" i="2"/>
  <c r="F51" i="3" s="1"/>
  <c r="G51" i="3" s="1"/>
  <c r="K45" i="2"/>
  <c r="I50" i="3" s="1"/>
  <c r="J45" i="2"/>
  <c r="F50" i="3" s="1"/>
  <c r="G50" i="3" s="1"/>
  <c r="K44" i="2"/>
  <c r="I49" i="3" s="1"/>
  <c r="J44" i="2"/>
  <c r="F49" i="3" s="1"/>
  <c r="G49" i="3" s="1"/>
  <c r="K43" i="2"/>
  <c r="I48" i="3" s="1"/>
  <c r="J43" i="2"/>
  <c r="F48" i="3" s="1"/>
  <c r="G48" i="3" s="1"/>
  <c r="K42" i="2"/>
  <c r="I47" i="3" s="1"/>
  <c r="J42" i="2"/>
  <c r="F47" i="3" s="1"/>
  <c r="G47" i="3" s="1"/>
  <c r="K41" i="2"/>
  <c r="I46" i="3" s="1"/>
  <c r="J41" i="2"/>
  <c r="F46" i="3" s="1"/>
  <c r="G46" i="3" s="1"/>
  <c r="K40" i="2"/>
  <c r="I45" i="3" s="1"/>
  <c r="J40" i="2"/>
  <c r="F45" i="3" s="1"/>
  <c r="G45" i="3" s="1"/>
  <c r="K39" i="2"/>
  <c r="I44" i="3" s="1"/>
  <c r="J39" i="2"/>
  <c r="F44" i="3" s="1"/>
  <c r="G44" i="3" s="1"/>
  <c r="K38" i="2"/>
  <c r="I43" i="3" s="1"/>
  <c r="J38" i="2"/>
  <c r="F43" i="3" s="1"/>
  <c r="G43" i="3" s="1"/>
  <c r="K37" i="2"/>
  <c r="I42" i="3" s="1"/>
  <c r="J37" i="2"/>
  <c r="F42" i="3" s="1"/>
  <c r="G42" i="3" s="1"/>
  <c r="K36" i="2"/>
  <c r="I41" i="3" s="1"/>
  <c r="J36" i="2"/>
  <c r="F41" i="3" s="1"/>
  <c r="G41" i="3" s="1"/>
  <c r="K35" i="2"/>
  <c r="I40" i="3" s="1"/>
  <c r="J35" i="2"/>
  <c r="F40" i="3" s="1"/>
  <c r="G40" i="3" s="1"/>
  <c r="K34" i="2"/>
  <c r="I39" i="3" s="1"/>
  <c r="J34" i="2"/>
  <c r="F39" i="3" s="1"/>
  <c r="G39" i="3" s="1"/>
  <c r="K33" i="2"/>
  <c r="I38" i="3" s="1"/>
  <c r="J33" i="2"/>
  <c r="F38" i="3" s="1"/>
  <c r="G38" i="3" s="1"/>
  <c r="K32" i="2"/>
  <c r="I37" i="3" s="1"/>
  <c r="J32" i="2"/>
  <c r="F37" i="3" s="1"/>
  <c r="G37" i="3" s="1"/>
  <c r="K31" i="2"/>
  <c r="I36" i="3" s="1"/>
  <c r="J31" i="2"/>
  <c r="F36" i="3" s="1"/>
  <c r="G36" i="3" s="1"/>
  <c r="K30" i="2"/>
  <c r="I35" i="3" s="1"/>
  <c r="J30" i="2"/>
  <c r="F35" i="3" s="1"/>
  <c r="G35" i="3" s="1"/>
  <c r="K29" i="2"/>
  <c r="I34" i="3" s="1"/>
  <c r="J29" i="2"/>
  <c r="F34" i="3" s="1"/>
  <c r="G34" i="3" s="1"/>
  <c r="K28" i="2"/>
  <c r="I33" i="3" s="1"/>
  <c r="J28" i="2"/>
  <c r="F33" i="3" s="1"/>
  <c r="G33" i="3" s="1"/>
  <c r="K27" i="2"/>
  <c r="I32" i="3" s="1"/>
  <c r="J27" i="2"/>
  <c r="F32" i="3" s="1"/>
  <c r="G32" i="3" s="1"/>
  <c r="K26" i="2"/>
  <c r="I31" i="3" s="1"/>
  <c r="J26" i="2"/>
  <c r="F31" i="3" s="1"/>
  <c r="G31" i="3" s="1"/>
  <c r="K25" i="2"/>
  <c r="I30" i="3" s="1"/>
  <c r="J25" i="2"/>
  <c r="F30" i="3" s="1"/>
  <c r="G30" i="3" s="1"/>
  <c r="K24" i="2"/>
  <c r="I29" i="3" s="1"/>
  <c r="J24" i="2"/>
  <c r="F29" i="3" s="1"/>
  <c r="G29" i="3" s="1"/>
  <c r="K23" i="2"/>
  <c r="I28" i="3" s="1"/>
  <c r="J23" i="2"/>
  <c r="F28" i="3" s="1"/>
  <c r="G28" i="3" s="1"/>
  <c r="K22" i="2"/>
  <c r="I27" i="3" s="1"/>
  <c r="J22" i="2"/>
  <c r="F27" i="3" s="1"/>
  <c r="G27" i="3" s="1"/>
  <c r="K21" i="2"/>
  <c r="I26" i="3" s="1"/>
  <c r="J21" i="2"/>
  <c r="F26" i="3" s="1"/>
  <c r="G26" i="3" s="1"/>
  <c r="K20" i="2"/>
  <c r="I25" i="3" s="1"/>
  <c r="J20" i="2"/>
  <c r="F25" i="3" s="1"/>
  <c r="G25" i="3" s="1"/>
  <c r="K19" i="2"/>
  <c r="I24" i="3" s="1"/>
  <c r="J19" i="2"/>
  <c r="F24" i="3" s="1"/>
  <c r="G24" i="3" s="1"/>
  <c r="K18" i="2"/>
  <c r="I23" i="3" s="1"/>
  <c r="J18" i="2"/>
  <c r="F23" i="3" s="1"/>
  <c r="G23" i="3" s="1"/>
  <c r="K17" i="2"/>
  <c r="I22" i="3" s="1"/>
  <c r="J17" i="2"/>
  <c r="F22" i="3" s="1"/>
  <c r="G22" i="3" s="1"/>
  <c r="K16" i="2"/>
  <c r="I21" i="3" s="1"/>
  <c r="J16" i="2"/>
  <c r="F21" i="3" s="1"/>
  <c r="G21" i="3" s="1"/>
  <c r="K15" i="2"/>
  <c r="I20" i="3" s="1"/>
  <c r="J15" i="2"/>
  <c r="F20" i="3" s="1"/>
  <c r="G20" i="3" s="1"/>
  <c r="K14" i="2"/>
  <c r="I19" i="3" s="1"/>
  <c r="J14" i="2"/>
  <c r="F19" i="3" s="1"/>
  <c r="G19" i="3" s="1"/>
  <c r="K13" i="2"/>
  <c r="I18" i="3" s="1"/>
  <c r="J13" i="2"/>
  <c r="F18" i="3" s="1"/>
  <c r="G18" i="3" s="1"/>
  <c r="K12" i="2"/>
  <c r="I17" i="3" s="1"/>
  <c r="J12" i="2"/>
  <c r="F17" i="3" s="1"/>
  <c r="G17" i="3" s="1"/>
  <c r="M165" i="5" l="1"/>
  <c r="M155" i="5"/>
  <c r="M55" i="5"/>
  <c r="M30" i="5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8" i="3"/>
  <c r="X27" i="3"/>
  <c r="M114" i="5"/>
  <c r="X26" i="3"/>
  <c r="X25" i="3"/>
  <c r="X24" i="3"/>
  <c r="X23" i="3"/>
  <c r="X22" i="3"/>
  <c r="X21" i="3"/>
  <c r="X20" i="3"/>
  <c r="X19" i="3"/>
  <c r="X18" i="3"/>
  <c r="X17" i="3"/>
  <c r="M175" i="5"/>
  <c r="M158" i="5"/>
  <c r="M181" i="5"/>
  <c r="M156" i="5"/>
  <c r="M54" i="5"/>
  <c r="X43" i="3"/>
  <c r="M49" i="5"/>
  <c r="X29" i="3"/>
  <c r="D14" i="3" s="1"/>
  <c r="N205" i="5"/>
  <c r="O205" i="5"/>
  <c r="P205" i="5"/>
  <c r="Q205" i="5"/>
  <c r="R205" i="5"/>
  <c r="S205" i="5"/>
  <c r="N204" i="5"/>
  <c r="O204" i="5"/>
  <c r="P204" i="5"/>
  <c r="Q204" i="5"/>
  <c r="R204" i="5"/>
  <c r="S204" i="5"/>
  <c r="N203" i="5"/>
  <c r="O203" i="5"/>
  <c r="P203" i="5"/>
  <c r="Q203" i="5"/>
  <c r="R203" i="5"/>
  <c r="S203" i="5"/>
  <c r="N202" i="5"/>
  <c r="O202" i="5"/>
  <c r="P202" i="5"/>
  <c r="Q202" i="5"/>
  <c r="R202" i="5"/>
  <c r="S202" i="5"/>
  <c r="N201" i="5"/>
  <c r="O201" i="5"/>
  <c r="P201" i="5"/>
  <c r="Q201" i="5"/>
  <c r="R201" i="5"/>
  <c r="S201" i="5"/>
  <c r="N200" i="5"/>
  <c r="O200" i="5"/>
  <c r="P200" i="5"/>
  <c r="Q200" i="5"/>
  <c r="R200" i="5"/>
  <c r="S200" i="5"/>
  <c r="N199" i="5"/>
  <c r="O199" i="5"/>
  <c r="P199" i="5"/>
  <c r="Q199" i="5"/>
  <c r="R199" i="5"/>
  <c r="N198" i="5"/>
  <c r="O198" i="5"/>
  <c r="P198" i="5"/>
  <c r="Q198" i="5"/>
  <c r="R198" i="5"/>
  <c r="N197" i="5"/>
  <c r="O197" i="5"/>
  <c r="P197" i="5"/>
  <c r="Q197" i="5"/>
  <c r="R197" i="5"/>
  <c r="S197" i="5"/>
  <c r="N196" i="5"/>
  <c r="O196" i="5"/>
  <c r="P196" i="5"/>
  <c r="Q196" i="5"/>
  <c r="R196" i="5"/>
  <c r="S196" i="5"/>
  <c r="N195" i="5"/>
  <c r="O195" i="5"/>
  <c r="P195" i="5"/>
  <c r="Q195" i="5"/>
  <c r="S195" i="5" s="1"/>
  <c r="R195" i="5"/>
  <c r="N194" i="5"/>
  <c r="S194" i="5" s="1"/>
  <c r="O194" i="5"/>
  <c r="P194" i="5"/>
  <c r="Q194" i="5"/>
  <c r="R194" i="5"/>
  <c r="N193" i="5"/>
  <c r="O193" i="5"/>
  <c r="P193" i="5"/>
  <c r="Q193" i="5"/>
  <c r="R193" i="5"/>
  <c r="S193" i="5" s="1"/>
  <c r="N192" i="5"/>
  <c r="O192" i="5"/>
  <c r="P192" i="5"/>
  <c r="Q192" i="5"/>
  <c r="R192" i="5"/>
  <c r="S192" i="5"/>
  <c r="N191" i="5"/>
  <c r="O191" i="5"/>
  <c r="P191" i="5"/>
  <c r="Q191" i="5"/>
  <c r="R191" i="5"/>
  <c r="S191" i="5"/>
  <c r="N190" i="5"/>
  <c r="O190" i="5"/>
  <c r="P190" i="5"/>
  <c r="Q190" i="5"/>
  <c r="R190" i="5"/>
  <c r="S190" i="5" s="1"/>
  <c r="N189" i="5"/>
  <c r="O189" i="5"/>
  <c r="P189" i="5"/>
  <c r="Q189" i="5"/>
  <c r="R189" i="5"/>
  <c r="N188" i="5"/>
  <c r="O188" i="5"/>
  <c r="P188" i="5"/>
  <c r="Q188" i="5"/>
  <c r="R188" i="5"/>
  <c r="S188" i="5"/>
  <c r="N187" i="5"/>
  <c r="O187" i="5"/>
  <c r="P187" i="5"/>
  <c r="Q187" i="5"/>
  <c r="R187" i="5"/>
  <c r="S187" i="5"/>
  <c r="N186" i="5"/>
  <c r="O186" i="5"/>
  <c r="P186" i="5"/>
  <c r="Q186" i="5"/>
  <c r="R186" i="5"/>
  <c r="S186" i="5" s="1"/>
  <c r="N185" i="5"/>
  <c r="O185" i="5"/>
  <c r="P185" i="5"/>
  <c r="Q185" i="5"/>
  <c r="R185" i="5"/>
  <c r="S185" i="5"/>
  <c r="N184" i="5"/>
  <c r="O184" i="5"/>
  <c r="P184" i="5"/>
  <c r="Q184" i="5"/>
  <c r="R184" i="5"/>
  <c r="S184" i="5"/>
  <c r="N183" i="5"/>
  <c r="O183" i="5"/>
  <c r="P183" i="5"/>
  <c r="Q183" i="5"/>
  <c r="R183" i="5"/>
  <c r="S183" i="5"/>
  <c r="N182" i="5"/>
  <c r="O182" i="5"/>
  <c r="P182" i="5"/>
  <c r="Q182" i="5"/>
  <c r="R182" i="5"/>
  <c r="S182" i="5"/>
  <c r="N181" i="5"/>
  <c r="O181" i="5"/>
  <c r="P181" i="5"/>
  <c r="Q181" i="5"/>
  <c r="R181" i="5"/>
  <c r="S181" i="5" s="1"/>
  <c r="N180" i="5"/>
  <c r="O180" i="5"/>
  <c r="P180" i="5"/>
  <c r="Q180" i="5"/>
  <c r="R180" i="5"/>
  <c r="S180" i="5"/>
  <c r="N179" i="5"/>
  <c r="O179" i="5"/>
  <c r="P179" i="5"/>
  <c r="Q179" i="5"/>
  <c r="R179" i="5"/>
  <c r="S179" i="5"/>
  <c r="N178" i="5"/>
  <c r="O178" i="5"/>
  <c r="P178" i="5"/>
  <c r="Q178" i="5"/>
  <c r="R178" i="5"/>
  <c r="S178" i="5"/>
  <c r="N177" i="5"/>
  <c r="O177" i="5"/>
  <c r="P177" i="5"/>
  <c r="Q177" i="5"/>
  <c r="R177" i="5"/>
  <c r="S177" i="5"/>
  <c r="N176" i="5"/>
  <c r="O176" i="5"/>
  <c r="P176" i="5"/>
  <c r="Q176" i="5"/>
  <c r="R176" i="5"/>
  <c r="S176" i="5"/>
  <c r="N175" i="5"/>
  <c r="O175" i="5"/>
  <c r="P175" i="5"/>
  <c r="Q175" i="5"/>
  <c r="R175" i="5"/>
  <c r="S175" i="5"/>
  <c r="N174" i="5"/>
  <c r="S174" i="5" s="1"/>
  <c r="O174" i="5"/>
  <c r="P174" i="5"/>
  <c r="Q174" i="5"/>
  <c r="R174" i="5"/>
  <c r="N173" i="5"/>
  <c r="O173" i="5"/>
  <c r="P173" i="5"/>
  <c r="Q173" i="5"/>
  <c r="R173" i="5"/>
  <c r="S173" i="5"/>
  <c r="N172" i="5"/>
  <c r="O172" i="5"/>
  <c r="P172" i="5"/>
  <c r="Q172" i="5"/>
  <c r="R172" i="5"/>
  <c r="S172" i="5"/>
  <c r="N171" i="5"/>
  <c r="O171" i="5"/>
  <c r="P171" i="5"/>
  <c r="Q171" i="5"/>
  <c r="R171" i="5"/>
  <c r="S171" i="5"/>
  <c r="N170" i="5"/>
  <c r="O170" i="5"/>
  <c r="P170" i="5"/>
  <c r="Q170" i="5"/>
  <c r="R170" i="5"/>
  <c r="S170" i="5"/>
  <c r="N169" i="5"/>
  <c r="O169" i="5"/>
  <c r="P169" i="5"/>
  <c r="Q169" i="5"/>
  <c r="R169" i="5"/>
  <c r="S169" i="5"/>
  <c r="N168" i="5"/>
  <c r="O168" i="5"/>
  <c r="P168" i="5"/>
  <c r="Q168" i="5"/>
  <c r="R168" i="5"/>
  <c r="S168" i="5"/>
  <c r="N167" i="5"/>
  <c r="O167" i="5"/>
  <c r="P167" i="5"/>
  <c r="Q167" i="5"/>
  <c r="R167" i="5"/>
  <c r="S167" i="5"/>
  <c r="N166" i="5"/>
  <c r="O166" i="5"/>
  <c r="P166" i="5"/>
  <c r="Q166" i="5"/>
  <c r="R166" i="5"/>
  <c r="N165" i="5"/>
  <c r="O165" i="5"/>
  <c r="P165" i="5"/>
  <c r="Q165" i="5"/>
  <c r="R165" i="5"/>
  <c r="S165" i="5"/>
  <c r="N164" i="5"/>
  <c r="O164" i="5"/>
  <c r="P164" i="5"/>
  <c r="Q164" i="5"/>
  <c r="R164" i="5"/>
  <c r="S164" i="5"/>
  <c r="N163" i="5"/>
  <c r="O163" i="5"/>
  <c r="P163" i="5"/>
  <c r="S163" i="5" s="1"/>
  <c r="Q163" i="5"/>
  <c r="R163" i="5"/>
  <c r="N162" i="5"/>
  <c r="O162" i="5"/>
  <c r="P162" i="5"/>
  <c r="Q162" i="5"/>
  <c r="S162" i="5" s="1"/>
  <c r="R162" i="5"/>
  <c r="N161" i="5"/>
  <c r="O161" i="5"/>
  <c r="P161" i="5"/>
  <c r="Q161" i="5"/>
  <c r="R161" i="5"/>
  <c r="S161" i="5" s="1"/>
  <c r="N160" i="5"/>
  <c r="O160" i="5"/>
  <c r="P160" i="5"/>
  <c r="Q160" i="5"/>
  <c r="R160" i="5"/>
  <c r="S160" i="5" s="1"/>
  <c r="N159" i="5"/>
  <c r="O159" i="5"/>
  <c r="P159" i="5"/>
  <c r="Q159" i="5"/>
  <c r="R159" i="5"/>
  <c r="S159" i="5"/>
  <c r="N158" i="5"/>
  <c r="O158" i="5"/>
  <c r="P158" i="5"/>
  <c r="Q158" i="5"/>
  <c r="R158" i="5"/>
  <c r="S158" i="5"/>
  <c r="N157" i="5"/>
  <c r="O157" i="5"/>
  <c r="P157" i="5"/>
  <c r="Q157" i="5"/>
  <c r="R157" i="5"/>
  <c r="S157" i="5"/>
  <c r="N155" i="5"/>
  <c r="O155" i="5"/>
  <c r="P155" i="5"/>
  <c r="Q155" i="5"/>
  <c r="R155" i="5"/>
  <c r="S155" i="5"/>
  <c r="N154" i="5"/>
  <c r="O154" i="5"/>
  <c r="P154" i="5"/>
  <c r="Q154" i="5"/>
  <c r="R154" i="5"/>
  <c r="S154" i="5"/>
  <c r="N153" i="5"/>
  <c r="O153" i="5"/>
  <c r="P153" i="5"/>
  <c r="Q153" i="5"/>
  <c r="R153" i="5"/>
  <c r="S153" i="5"/>
  <c r="N152" i="5"/>
  <c r="O152" i="5"/>
  <c r="P152" i="5"/>
  <c r="Q152" i="5"/>
  <c r="R152" i="5"/>
  <c r="S152" i="5"/>
  <c r="N151" i="5"/>
  <c r="O151" i="5"/>
  <c r="P151" i="5"/>
  <c r="Q151" i="5"/>
  <c r="R151" i="5"/>
  <c r="S151" i="5" s="1"/>
  <c r="N150" i="5"/>
  <c r="O150" i="5"/>
  <c r="P150" i="5"/>
  <c r="Q150" i="5"/>
  <c r="R150" i="5"/>
  <c r="S150" i="5" s="1"/>
  <c r="N149" i="5"/>
  <c r="O149" i="5"/>
  <c r="P149" i="5"/>
  <c r="Q149" i="5"/>
  <c r="R149" i="5"/>
  <c r="S149" i="5" s="1"/>
  <c r="N148" i="5"/>
  <c r="O148" i="5"/>
  <c r="P148" i="5"/>
  <c r="Q148" i="5"/>
  <c r="S148" i="5" s="1"/>
  <c r="R148" i="5"/>
  <c r="N147" i="5"/>
  <c r="O147" i="5"/>
  <c r="P147" i="5"/>
  <c r="Q147" i="5"/>
  <c r="R147" i="5"/>
  <c r="S147" i="5" s="1"/>
  <c r="N146" i="5"/>
  <c r="O146" i="5"/>
  <c r="P146" i="5"/>
  <c r="Q146" i="5"/>
  <c r="R146" i="5"/>
  <c r="S146" i="5"/>
  <c r="N145" i="5"/>
  <c r="O145" i="5"/>
  <c r="P145" i="5"/>
  <c r="Q145" i="5"/>
  <c r="R145" i="5"/>
  <c r="N144" i="5"/>
  <c r="O144" i="5"/>
  <c r="P144" i="5"/>
  <c r="Q144" i="5"/>
  <c r="R144" i="5"/>
  <c r="S144" i="5"/>
  <c r="N143" i="5"/>
  <c r="O143" i="5"/>
  <c r="P143" i="5"/>
  <c r="Q143" i="5"/>
  <c r="S143" i="5" s="1"/>
  <c r="R143" i="5"/>
  <c r="N142" i="5"/>
  <c r="O142" i="5"/>
  <c r="P142" i="5"/>
  <c r="Q142" i="5"/>
  <c r="R142" i="5"/>
  <c r="S142" i="5"/>
  <c r="N141" i="5"/>
  <c r="O141" i="5"/>
  <c r="P141" i="5"/>
  <c r="Q141" i="5"/>
  <c r="R141" i="5"/>
  <c r="S141" i="5"/>
  <c r="N140" i="5"/>
  <c r="O140" i="5"/>
  <c r="P140" i="5"/>
  <c r="Q140" i="5"/>
  <c r="R140" i="5"/>
  <c r="S140" i="5"/>
  <c r="N139" i="5"/>
  <c r="O139" i="5"/>
  <c r="P139" i="5"/>
  <c r="Q139" i="5"/>
  <c r="R139" i="5"/>
  <c r="S139" i="5"/>
  <c r="N138" i="5"/>
  <c r="O138" i="5"/>
  <c r="P138" i="5"/>
  <c r="S138" i="5" s="1"/>
  <c r="Q138" i="5"/>
  <c r="R138" i="5"/>
  <c r="N137" i="5"/>
  <c r="O137" i="5"/>
  <c r="P137" i="5"/>
  <c r="Q137" i="5"/>
  <c r="R137" i="5"/>
  <c r="S137" i="5"/>
  <c r="N136" i="5"/>
  <c r="O136" i="5"/>
  <c r="P136" i="5"/>
  <c r="Q136" i="5"/>
  <c r="R136" i="5"/>
  <c r="S136" i="5"/>
  <c r="N135" i="5"/>
  <c r="O135" i="5"/>
  <c r="P135" i="5"/>
  <c r="Q135" i="5"/>
  <c r="R135" i="5"/>
  <c r="S135" i="5"/>
  <c r="N134" i="5"/>
  <c r="O134" i="5"/>
  <c r="P134" i="5"/>
  <c r="S134" i="5" s="1"/>
  <c r="Q134" i="5"/>
  <c r="R134" i="5"/>
  <c r="N133" i="5"/>
  <c r="O133" i="5"/>
  <c r="P133" i="5"/>
  <c r="Q133" i="5"/>
  <c r="R133" i="5"/>
  <c r="S133" i="5"/>
  <c r="N132" i="5"/>
  <c r="O132" i="5"/>
  <c r="P132" i="5"/>
  <c r="Q132" i="5"/>
  <c r="R132" i="5"/>
  <c r="S132" i="5"/>
  <c r="N131" i="5"/>
  <c r="O131" i="5"/>
  <c r="P131" i="5"/>
  <c r="Q131" i="5"/>
  <c r="R131" i="5"/>
  <c r="S131" i="5"/>
  <c r="N130" i="5"/>
  <c r="O130" i="5"/>
  <c r="P130" i="5"/>
  <c r="Q130" i="5"/>
  <c r="R130" i="5"/>
  <c r="S130" i="5" s="1"/>
  <c r="N129" i="5"/>
  <c r="O129" i="5"/>
  <c r="P129" i="5"/>
  <c r="Q129" i="5"/>
  <c r="R129" i="5"/>
  <c r="S129" i="5" s="1"/>
  <c r="N128" i="5"/>
  <c r="O128" i="5"/>
  <c r="P128" i="5"/>
  <c r="Q128" i="5"/>
  <c r="R128" i="5"/>
  <c r="S128" i="5" s="1"/>
  <c r="N127" i="5"/>
  <c r="O127" i="5"/>
  <c r="P127" i="5"/>
  <c r="Q127" i="5"/>
  <c r="R127" i="5"/>
  <c r="S127" i="5"/>
  <c r="N126" i="5"/>
  <c r="O126" i="5"/>
  <c r="P126" i="5"/>
  <c r="Q126" i="5"/>
  <c r="R126" i="5"/>
  <c r="S126" i="5"/>
  <c r="N125" i="5"/>
  <c r="O125" i="5"/>
  <c r="P125" i="5"/>
  <c r="Q125" i="5"/>
  <c r="R125" i="5"/>
  <c r="N124" i="5"/>
  <c r="O124" i="5"/>
  <c r="P124" i="5"/>
  <c r="Q124" i="5"/>
  <c r="R124" i="5"/>
  <c r="S124" i="5"/>
  <c r="N123" i="5"/>
  <c r="O123" i="5"/>
  <c r="P123" i="5"/>
  <c r="Q123" i="5"/>
  <c r="S123" i="5" s="1"/>
  <c r="R123" i="5"/>
  <c r="N122" i="5"/>
  <c r="O122" i="5"/>
  <c r="P122" i="5"/>
  <c r="Q122" i="5"/>
  <c r="R122" i="5"/>
  <c r="S122" i="5"/>
  <c r="N121" i="5"/>
  <c r="O121" i="5"/>
  <c r="P121" i="5"/>
  <c r="Q121" i="5"/>
  <c r="R121" i="5"/>
  <c r="S121" i="5"/>
  <c r="N120" i="5"/>
  <c r="O120" i="5"/>
  <c r="P120" i="5"/>
  <c r="Q120" i="5"/>
  <c r="R120" i="5"/>
  <c r="S120" i="5"/>
  <c r="N119" i="5"/>
  <c r="O119" i="5"/>
  <c r="P119" i="5"/>
  <c r="Q119" i="5"/>
  <c r="R119" i="5"/>
  <c r="S119" i="5"/>
  <c r="N118" i="5"/>
  <c r="O118" i="5"/>
  <c r="P118" i="5"/>
  <c r="S118" i="5" s="1"/>
  <c r="Q118" i="5"/>
  <c r="R118" i="5"/>
  <c r="N117" i="5"/>
  <c r="O117" i="5"/>
  <c r="P117" i="5"/>
  <c r="Q117" i="5"/>
  <c r="R117" i="5"/>
  <c r="S117" i="5" s="1"/>
  <c r="N116" i="5"/>
  <c r="O116" i="5"/>
  <c r="P116" i="5"/>
  <c r="Q116" i="5"/>
  <c r="R116" i="5"/>
  <c r="S116" i="5"/>
  <c r="N115" i="5"/>
  <c r="O115" i="5"/>
  <c r="P115" i="5"/>
  <c r="Q115" i="5"/>
  <c r="R115" i="5"/>
  <c r="N114" i="5"/>
  <c r="O114" i="5"/>
  <c r="P114" i="5"/>
  <c r="Q114" i="5"/>
  <c r="R114" i="5"/>
  <c r="N113" i="5"/>
  <c r="O113" i="5"/>
  <c r="P113" i="5"/>
  <c r="Q113" i="5"/>
  <c r="R113" i="5"/>
  <c r="N112" i="5"/>
  <c r="O112" i="5"/>
  <c r="P112" i="5"/>
  <c r="Q112" i="5"/>
  <c r="R112" i="5"/>
  <c r="Q111" i="5"/>
  <c r="P111" i="5"/>
  <c r="S111" i="5"/>
  <c r="R111" i="5"/>
  <c r="O111" i="5"/>
  <c r="N111" i="5"/>
  <c r="N110" i="5"/>
  <c r="O110" i="5"/>
  <c r="P110" i="5"/>
  <c r="Q110" i="5"/>
  <c r="R110" i="5"/>
  <c r="S110" i="5"/>
  <c r="N109" i="5"/>
  <c r="O109" i="5"/>
  <c r="P109" i="5"/>
  <c r="Q109" i="5"/>
  <c r="R109" i="5"/>
  <c r="N108" i="5"/>
  <c r="O108" i="5"/>
  <c r="P108" i="5"/>
  <c r="Q108" i="5"/>
  <c r="R108" i="5"/>
  <c r="N107" i="5"/>
  <c r="O107" i="5"/>
  <c r="P107" i="5"/>
  <c r="Q107" i="5"/>
  <c r="R107" i="5"/>
  <c r="S107" i="5" s="1"/>
  <c r="N106" i="5"/>
  <c r="O106" i="5"/>
  <c r="P106" i="5"/>
  <c r="Q106" i="5"/>
  <c r="R106" i="5"/>
  <c r="N105" i="5"/>
  <c r="O105" i="5"/>
  <c r="P105" i="5"/>
  <c r="Q105" i="5"/>
  <c r="R105" i="5"/>
  <c r="S105" i="5"/>
  <c r="N104" i="5"/>
  <c r="O104" i="5"/>
  <c r="P104" i="5"/>
  <c r="Q104" i="5"/>
  <c r="R104" i="5"/>
  <c r="N103" i="5"/>
  <c r="O103" i="5"/>
  <c r="P103" i="5"/>
  <c r="Q103" i="5"/>
  <c r="R103" i="5"/>
  <c r="N102" i="5"/>
  <c r="O102" i="5"/>
  <c r="P102" i="5"/>
  <c r="Q102" i="5"/>
  <c r="R102" i="5"/>
  <c r="S102" i="5"/>
  <c r="N101" i="5"/>
  <c r="O101" i="5"/>
  <c r="P101" i="5"/>
  <c r="Q101" i="5"/>
  <c r="R101" i="5"/>
  <c r="N100" i="5"/>
  <c r="O100" i="5"/>
  <c r="P100" i="5"/>
  <c r="Q100" i="5"/>
  <c r="R100" i="5"/>
  <c r="N99" i="5"/>
  <c r="O99" i="5"/>
  <c r="P99" i="5"/>
  <c r="Q99" i="5"/>
  <c r="R99" i="5"/>
  <c r="N98" i="5"/>
  <c r="O98" i="5"/>
  <c r="P98" i="5"/>
  <c r="Q98" i="5"/>
  <c r="R98" i="5"/>
  <c r="N97" i="5"/>
  <c r="O97" i="5"/>
  <c r="P97" i="5"/>
  <c r="Q97" i="5"/>
  <c r="R97" i="5"/>
  <c r="N96" i="5"/>
  <c r="O96" i="5"/>
  <c r="P96" i="5"/>
  <c r="Q96" i="5"/>
  <c r="R96" i="5"/>
  <c r="N95" i="5"/>
  <c r="O95" i="5"/>
  <c r="P95" i="5"/>
  <c r="Q95" i="5"/>
  <c r="R95" i="5"/>
  <c r="N94" i="5"/>
  <c r="O94" i="5"/>
  <c r="P94" i="5"/>
  <c r="Q94" i="5"/>
  <c r="R94" i="5"/>
  <c r="O93" i="5"/>
  <c r="P93" i="5"/>
  <c r="R93" i="5"/>
  <c r="N93" i="5"/>
  <c r="Q93" i="5"/>
  <c r="N92" i="5"/>
  <c r="O92" i="5"/>
  <c r="P92" i="5"/>
  <c r="Q92" i="5"/>
  <c r="R92" i="5"/>
  <c r="O91" i="5"/>
  <c r="R91" i="5"/>
  <c r="N91" i="5"/>
  <c r="P91" i="5"/>
  <c r="Q91" i="5"/>
  <c r="N90" i="5"/>
  <c r="O90" i="5"/>
  <c r="P90" i="5"/>
  <c r="Q90" i="5"/>
  <c r="R90" i="5"/>
  <c r="O89" i="5"/>
  <c r="Q89" i="5"/>
  <c r="N89" i="5"/>
  <c r="S89" i="5" s="1"/>
  <c r="P89" i="5"/>
  <c r="R89" i="5"/>
  <c r="O88" i="5"/>
  <c r="Q88" i="5"/>
  <c r="N88" i="5"/>
  <c r="P88" i="5"/>
  <c r="R88" i="5"/>
  <c r="O87" i="5"/>
  <c r="P87" i="5"/>
  <c r="N87" i="5"/>
  <c r="Q87" i="5"/>
  <c r="R87" i="5"/>
  <c r="O86" i="5"/>
  <c r="N86" i="5"/>
  <c r="P86" i="5"/>
  <c r="Q86" i="5"/>
  <c r="R86" i="5"/>
  <c r="O85" i="5"/>
  <c r="Q85" i="5"/>
  <c r="R85" i="5"/>
  <c r="N85" i="5"/>
  <c r="P85" i="5"/>
  <c r="N84" i="5"/>
  <c r="O84" i="5"/>
  <c r="P84" i="5"/>
  <c r="Q84" i="5"/>
  <c r="R84" i="5"/>
  <c r="N83" i="5"/>
  <c r="P83" i="5"/>
  <c r="R83" i="5"/>
  <c r="O83" i="5"/>
  <c r="Q83" i="5"/>
  <c r="N82" i="5"/>
  <c r="P82" i="5"/>
  <c r="Q82" i="5"/>
  <c r="O82" i="5"/>
  <c r="R82" i="5"/>
  <c r="N81" i="5"/>
  <c r="P81" i="5"/>
  <c r="O81" i="5"/>
  <c r="Q81" i="5"/>
  <c r="R81" i="5"/>
  <c r="N80" i="5"/>
  <c r="O80" i="5"/>
  <c r="P80" i="5"/>
  <c r="Q80" i="5"/>
  <c r="R80" i="5"/>
  <c r="N79" i="5"/>
  <c r="O79" i="5"/>
  <c r="P79" i="5"/>
  <c r="Q79" i="5"/>
  <c r="R79" i="5"/>
  <c r="N78" i="5"/>
  <c r="O78" i="5"/>
  <c r="P78" i="5"/>
  <c r="Q78" i="5"/>
  <c r="R78" i="5"/>
  <c r="N77" i="5"/>
  <c r="O77" i="5"/>
  <c r="P77" i="5"/>
  <c r="Q77" i="5"/>
  <c r="R77" i="5"/>
  <c r="N76" i="5"/>
  <c r="O76" i="5"/>
  <c r="P76" i="5"/>
  <c r="Q76" i="5"/>
  <c r="R76" i="5"/>
  <c r="N75" i="5"/>
  <c r="O75" i="5"/>
  <c r="P75" i="5"/>
  <c r="Q75" i="5"/>
  <c r="R75" i="5"/>
  <c r="N74" i="5"/>
  <c r="O74" i="5"/>
  <c r="P74" i="5"/>
  <c r="Q74" i="5"/>
  <c r="R74" i="5"/>
  <c r="S74" i="5" s="1"/>
  <c r="N73" i="5"/>
  <c r="O73" i="5"/>
  <c r="P73" i="5"/>
  <c r="Q73" i="5"/>
  <c r="R73" i="5"/>
  <c r="N72" i="5"/>
  <c r="O72" i="5"/>
  <c r="P72" i="5"/>
  <c r="Q72" i="5"/>
  <c r="R72" i="5"/>
  <c r="N71" i="5"/>
  <c r="O71" i="5"/>
  <c r="P71" i="5"/>
  <c r="Q71" i="5"/>
  <c r="R71" i="5"/>
  <c r="P70" i="5"/>
  <c r="R70" i="5"/>
  <c r="S70" i="5"/>
  <c r="Q70" i="5"/>
  <c r="N70" i="5"/>
  <c r="O70" i="5"/>
  <c r="N69" i="5"/>
  <c r="O69" i="5"/>
  <c r="P69" i="5"/>
  <c r="Q69" i="5"/>
  <c r="R69" i="5"/>
  <c r="N68" i="5"/>
  <c r="O68" i="5"/>
  <c r="P68" i="5"/>
  <c r="Q68" i="5"/>
  <c r="R68" i="5"/>
  <c r="N67" i="5"/>
  <c r="O67" i="5"/>
  <c r="P67" i="5"/>
  <c r="Q67" i="5"/>
  <c r="R67" i="5"/>
  <c r="N66" i="5"/>
  <c r="O66" i="5"/>
  <c r="P66" i="5"/>
  <c r="Q66" i="5"/>
  <c r="R66" i="5"/>
  <c r="P65" i="5"/>
  <c r="O65" i="5"/>
  <c r="S65" i="5"/>
  <c r="Q65" i="5"/>
  <c r="N65" i="5"/>
  <c r="R65" i="5"/>
  <c r="N64" i="5"/>
  <c r="O64" i="5"/>
  <c r="P64" i="5"/>
  <c r="Q64" i="5"/>
  <c r="R64" i="5"/>
  <c r="S64" i="5"/>
  <c r="N63" i="5"/>
  <c r="O63" i="5"/>
  <c r="P63" i="5"/>
  <c r="Q63" i="5"/>
  <c r="R63" i="5"/>
  <c r="S63" i="5"/>
  <c r="N62" i="5"/>
  <c r="O62" i="5"/>
  <c r="P62" i="5"/>
  <c r="Q62" i="5"/>
  <c r="R62" i="5"/>
  <c r="S62" i="5"/>
  <c r="N61" i="5"/>
  <c r="O61" i="5"/>
  <c r="P61" i="5"/>
  <c r="Q61" i="5"/>
  <c r="R61" i="5"/>
  <c r="S61" i="5"/>
  <c r="N60" i="5"/>
  <c r="O60" i="5"/>
  <c r="P60" i="5"/>
  <c r="Q60" i="5"/>
  <c r="R60" i="5"/>
  <c r="S60" i="5"/>
  <c r="N59" i="5"/>
  <c r="S59" i="5" s="1"/>
  <c r="O59" i="5"/>
  <c r="P59" i="5"/>
  <c r="Q59" i="5"/>
  <c r="R59" i="5"/>
  <c r="N58" i="5"/>
  <c r="O58" i="5"/>
  <c r="P58" i="5"/>
  <c r="Q58" i="5"/>
  <c r="R58" i="5"/>
  <c r="S58" i="5"/>
  <c r="N57" i="5"/>
  <c r="O57" i="5"/>
  <c r="P57" i="5"/>
  <c r="Q57" i="5"/>
  <c r="R57" i="5"/>
  <c r="S57" i="5"/>
  <c r="N56" i="5"/>
  <c r="O56" i="5"/>
  <c r="P56" i="5"/>
  <c r="Q56" i="5"/>
  <c r="R56" i="5"/>
  <c r="S56" i="5"/>
  <c r="N55" i="5"/>
  <c r="O55" i="5"/>
  <c r="P55" i="5"/>
  <c r="Q55" i="5"/>
  <c r="R55" i="5"/>
  <c r="S55" i="5"/>
  <c r="N53" i="5"/>
  <c r="O53" i="5"/>
  <c r="P53" i="5"/>
  <c r="Q53" i="5"/>
  <c r="R53" i="5"/>
  <c r="S53" i="5"/>
  <c r="N52" i="5"/>
  <c r="O52" i="5"/>
  <c r="P52" i="5"/>
  <c r="Q52" i="5"/>
  <c r="R52" i="5"/>
  <c r="S52" i="5" s="1"/>
  <c r="N51" i="5"/>
  <c r="P51" i="5"/>
  <c r="Q51" i="5"/>
  <c r="R51" i="5"/>
  <c r="O51" i="5"/>
  <c r="S51" i="5" s="1"/>
  <c r="N50" i="5"/>
  <c r="O50" i="5"/>
  <c r="Q50" i="5"/>
  <c r="R50" i="5"/>
  <c r="P50" i="5"/>
  <c r="S50" i="5" s="1"/>
  <c r="O48" i="5"/>
  <c r="P48" i="5"/>
  <c r="R48" i="5"/>
  <c r="N48" i="5"/>
  <c r="Q48" i="5"/>
  <c r="O47" i="5"/>
  <c r="P47" i="5"/>
  <c r="Q47" i="5"/>
  <c r="R47" i="5"/>
  <c r="N47" i="5"/>
  <c r="S47" i="5" s="1"/>
  <c r="N46" i="5"/>
  <c r="P46" i="5"/>
  <c r="Q46" i="5"/>
  <c r="R46" i="5"/>
  <c r="O46" i="5"/>
  <c r="S46" i="5" s="1"/>
  <c r="O45" i="5"/>
  <c r="P45" i="5"/>
  <c r="Q45" i="5"/>
  <c r="R45" i="5"/>
  <c r="N45" i="5"/>
  <c r="N44" i="5"/>
  <c r="P44" i="5"/>
  <c r="R44" i="5"/>
  <c r="O44" i="5"/>
  <c r="Q44" i="5"/>
  <c r="S44" i="5"/>
  <c r="N43" i="5"/>
  <c r="O43" i="5"/>
  <c r="P43" i="5"/>
  <c r="Q43" i="5"/>
  <c r="R43" i="5"/>
  <c r="S43" i="5"/>
  <c r="N42" i="5"/>
  <c r="O42" i="5"/>
  <c r="Q42" i="5"/>
  <c r="S42" i="5" s="1"/>
  <c r="R42" i="5"/>
  <c r="P42" i="5"/>
  <c r="N41" i="5"/>
  <c r="O41" i="5"/>
  <c r="P41" i="5"/>
  <c r="Q41" i="5"/>
  <c r="R41" i="5"/>
  <c r="S41" i="5"/>
  <c r="N40" i="5"/>
  <c r="P40" i="5"/>
  <c r="Q40" i="5"/>
  <c r="R40" i="5"/>
  <c r="O40" i="5"/>
  <c r="S40" i="5"/>
  <c r="N39" i="5"/>
  <c r="O39" i="5"/>
  <c r="P39" i="5"/>
  <c r="Q39" i="5"/>
  <c r="R39" i="5"/>
  <c r="S39" i="5"/>
  <c r="O38" i="5"/>
  <c r="P38" i="5"/>
  <c r="Q38" i="5"/>
  <c r="N38" i="5"/>
  <c r="R38" i="5"/>
  <c r="S38" i="5"/>
  <c r="N37" i="5"/>
  <c r="O37" i="5"/>
  <c r="P37" i="5"/>
  <c r="Q37" i="5"/>
  <c r="R37" i="5"/>
  <c r="S37" i="5"/>
  <c r="N36" i="5"/>
  <c r="O36" i="5"/>
  <c r="P36" i="5"/>
  <c r="Q36" i="5"/>
  <c r="R36" i="5"/>
  <c r="S36" i="5"/>
  <c r="N35" i="5"/>
  <c r="O35" i="5"/>
  <c r="P35" i="5"/>
  <c r="Q35" i="5"/>
  <c r="R35" i="5"/>
  <c r="S35" i="5"/>
  <c r="N34" i="5"/>
  <c r="O34" i="5"/>
  <c r="P34" i="5"/>
  <c r="Q34" i="5"/>
  <c r="R34" i="5"/>
  <c r="S34" i="5"/>
  <c r="N33" i="5"/>
  <c r="O33" i="5"/>
  <c r="P33" i="5"/>
  <c r="Q33" i="5"/>
  <c r="R33" i="5"/>
  <c r="S33" i="5"/>
  <c r="N32" i="5"/>
  <c r="O32" i="5"/>
  <c r="P32" i="5"/>
  <c r="Q32" i="5"/>
  <c r="R32" i="5"/>
  <c r="S32" i="5"/>
  <c r="O31" i="5"/>
  <c r="R31" i="5"/>
  <c r="N31" i="5"/>
  <c r="Q31" i="5"/>
  <c r="P31" i="5"/>
  <c r="S31" i="5"/>
  <c r="N30" i="5"/>
  <c r="O30" i="5"/>
  <c r="P30" i="5"/>
  <c r="R30" i="5"/>
  <c r="Q30" i="5"/>
  <c r="S30" i="5" s="1"/>
  <c r="N29" i="5"/>
  <c r="O29" i="5"/>
  <c r="P29" i="5"/>
  <c r="Q29" i="5"/>
  <c r="R29" i="5"/>
  <c r="S29" i="5"/>
  <c r="N28" i="5"/>
  <c r="O28" i="5"/>
  <c r="P28" i="5"/>
  <c r="Q28" i="5"/>
  <c r="R28" i="5"/>
  <c r="S28" i="5"/>
  <c r="N27" i="5"/>
  <c r="O27" i="5"/>
  <c r="P27" i="5"/>
  <c r="Q27" i="5"/>
  <c r="R27" i="5"/>
  <c r="S27" i="5"/>
  <c r="N26" i="5"/>
  <c r="O26" i="5"/>
  <c r="P26" i="5"/>
  <c r="Q26" i="5"/>
  <c r="R26" i="5"/>
  <c r="S26" i="5"/>
  <c r="N25" i="5"/>
  <c r="O25" i="5"/>
  <c r="P25" i="5"/>
  <c r="Q25" i="5"/>
  <c r="R25" i="5"/>
  <c r="N24" i="5"/>
  <c r="O24" i="5"/>
  <c r="P24" i="5"/>
  <c r="Q24" i="5"/>
  <c r="R24" i="5"/>
  <c r="S24" i="5"/>
  <c r="N23" i="5"/>
  <c r="O23" i="5"/>
  <c r="P23" i="5"/>
  <c r="Q23" i="5"/>
  <c r="R23" i="5"/>
  <c r="S23" i="5"/>
  <c r="N22" i="5"/>
  <c r="O22" i="5"/>
  <c r="P22" i="5"/>
  <c r="Q22" i="5"/>
  <c r="R22" i="5"/>
  <c r="S22" i="5"/>
  <c r="O21" i="5"/>
  <c r="R21" i="5"/>
  <c r="N21" i="5"/>
  <c r="P21" i="5"/>
  <c r="Q21" i="5"/>
  <c r="S21" i="5" s="1"/>
  <c r="O20" i="5"/>
  <c r="R20" i="5"/>
  <c r="P20" i="5"/>
  <c r="N20" i="5"/>
  <c r="Q20" i="5"/>
  <c r="S20" i="5"/>
  <c r="O19" i="5"/>
  <c r="Q19" i="5"/>
  <c r="R19" i="5"/>
  <c r="N19" i="5"/>
  <c r="P19" i="5"/>
  <c r="S19" i="5"/>
  <c r="N18" i="5"/>
  <c r="O18" i="5"/>
  <c r="P18" i="5"/>
  <c r="Q18" i="5"/>
  <c r="R18" i="5"/>
  <c r="S18" i="5"/>
  <c r="O17" i="5"/>
  <c r="Q17" i="5"/>
  <c r="N17" i="5"/>
  <c r="P17" i="5"/>
  <c r="R17" i="5"/>
  <c r="S17" i="5"/>
  <c r="O16" i="5"/>
  <c r="Q16" i="5"/>
  <c r="N16" i="5"/>
  <c r="P16" i="5"/>
  <c r="R16" i="5"/>
  <c r="N15" i="5"/>
  <c r="O15" i="5"/>
  <c r="P15" i="5"/>
  <c r="Q15" i="5"/>
  <c r="R15" i="5"/>
  <c r="S15" i="5"/>
  <c r="N14" i="5"/>
  <c r="O14" i="5"/>
  <c r="P14" i="5"/>
  <c r="Q14" i="5"/>
  <c r="R14" i="5"/>
  <c r="S14" i="5"/>
  <c r="O13" i="5"/>
  <c r="P13" i="5"/>
  <c r="R13" i="5"/>
  <c r="Q13" i="5"/>
  <c r="N13" i="5"/>
  <c r="S13" i="5" s="1"/>
  <c r="N12" i="5"/>
  <c r="O12" i="5"/>
  <c r="P12" i="5"/>
  <c r="Q12" i="5"/>
  <c r="R12" i="5"/>
  <c r="S12" i="5"/>
  <c r="P11" i="5"/>
  <c r="N11" i="5"/>
  <c r="O11" i="5"/>
  <c r="Q11" i="5"/>
  <c r="R11" i="5"/>
  <c r="N10" i="5"/>
  <c r="O10" i="5"/>
  <c r="P10" i="5"/>
  <c r="Q10" i="5"/>
  <c r="R10" i="5"/>
  <c r="S10" i="5"/>
  <c r="N9" i="5"/>
  <c r="O9" i="5"/>
  <c r="P9" i="5"/>
  <c r="Q9" i="5"/>
  <c r="R9" i="5"/>
  <c r="S9" i="5"/>
  <c r="N8" i="5"/>
  <c r="O8" i="5"/>
  <c r="P8" i="5"/>
  <c r="Q8" i="5"/>
  <c r="R8" i="5"/>
  <c r="S8" i="5"/>
  <c r="N7" i="5"/>
  <c r="O7" i="5"/>
  <c r="P7" i="5"/>
  <c r="Q7" i="5"/>
  <c r="R7" i="5"/>
  <c r="S7" i="5"/>
  <c r="N6" i="5"/>
  <c r="O6" i="5"/>
  <c r="P6" i="5"/>
  <c r="Q6" i="5"/>
  <c r="R6" i="5"/>
  <c r="S6" i="5" s="1"/>
  <c r="V21" i="5"/>
  <c r="V19" i="5"/>
  <c r="V22" i="5" s="1"/>
  <c r="R56" i="3"/>
  <c r="P56" i="3"/>
  <c r="Q56" i="3"/>
  <c r="P55" i="3"/>
  <c r="R55" i="3"/>
  <c r="Q55" i="3"/>
  <c r="Q54" i="3"/>
  <c r="R54" i="3"/>
  <c r="P54" i="3"/>
  <c r="P53" i="3"/>
  <c r="Q53" i="3"/>
  <c r="R53" i="3"/>
  <c r="Q52" i="3"/>
  <c r="R52" i="3"/>
  <c r="P52" i="3"/>
  <c r="R51" i="3"/>
  <c r="P51" i="3"/>
  <c r="Q51" i="3"/>
  <c r="R50" i="3"/>
  <c r="Q50" i="3"/>
  <c r="P50" i="3"/>
  <c r="R49" i="3"/>
  <c r="Q49" i="3"/>
  <c r="P49" i="3"/>
  <c r="R48" i="3"/>
  <c r="Q48" i="3"/>
  <c r="P48" i="3"/>
  <c r="R47" i="3"/>
  <c r="Q47" i="3"/>
  <c r="P47" i="3"/>
  <c r="P46" i="3"/>
  <c r="Q46" i="3"/>
  <c r="R46" i="3"/>
  <c r="R45" i="3"/>
  <c r="Q45" i="3"/>
  <c r="P45" i="3"/>
  <c r="P44" i="3"/>
  <c r="Q44" i="3"/>
  <c r="R44" i="3"/>
  <c r="Q43" i="3"/>
  <c r="R43" i="3"/>
  <c r="P43" i="3"/>
  <c r="R42" i="3"/>
  <c r="Q42" i="3"/>
  <c r="P42" i="3"/>
  <c r="Q41" i="3"/>
  <c r="R41" i="3"/>
  <c r="P41" i="3"/>
  <c r="P40" i="3"/>
  <c r="Q40" i="3"/>
  <c r="R40" i="3"/>
  <c r="R39" i="3"/>
  <c r="P39" i="3"/>
  <c r="Q39" i="3"/>
  <c r="Q38" i="3"/>
  <c r="R38" i="3"/>
  <c r="P38" i="3"/>
  <c r="Q37" i="3"/>
  <c r="P37" i="3"/>
  <c r="R37" i="3"/>
  <c r="R36" i="3"/>
  <c r="P36" i="3"/>
  <c r="Q36" i="3"/>
  <c r="P35" i="3"/>
  <c r="Q35" i="3"/>
  <c r="R35" i="3"/>
  <c r="Q34" i="3"/>
  <c r="P34" i="3"/>
  <c r="R34" i="3"/>
  <c r="P33" i="3"/>
  <c r="R33" i="3"/>
  <c r="Q33" i="3"/>
  <c r="R32" i="3"/>
  <c r="Q32" i="3"/>
  <c r="P32" i="3"/>
  <c r="R31" i="3"/>
  <c r="Q31" i="3"/>
  <c r="P31" i="3"/>
  <c r="R30" i="3"/>
  <c r="Q30" i="3"/>
  <c r="P30" i="3"/>
  <c r="R29" i="3"/>
  <c r="Q29" i="3"/>
  <c r="P29" i="3"/>
  <c r="R28" i="3"/>
  <c r="Q28" i="3"/>
  <c r="P28" i="3"/>
  <c r="R27" i="3"/>
  <c r="Q27" i="3"/>
  <c r="P27" i="3"/>
  <c r="R26" i="3"/>
  <c r="Q26" i="3"/>
  <c r="P26" i="3"/>
  <c r="R25" i="3"/>
  <c r="Q25" i="3"/>
  <c r="P25" i="3"/>
  <c r="R24" i="3"/>
  <c r="Q24" i="3"/>
  <c r="P24" i="3"/>
  <c r="R23" i="3"/>
  <c r="Q23" i="3"/>
  <c r="P23" i="3"/>
  <c r="R22" i="3"/>
  <c r="Q22" i="3"/>
  <c r="P22" i="3"/>
  <c r="P21" i="3"/>
  <c r="R21" i="3"/>
  <c r="Q21" i="3"/>
  <c r="R20" i="3"/>
  <c r="Q20" i="3"/>
  <c r="P20" i="3"/>
  <c r="R19" i="3"/>
  <c r="Q19" i="3"/>
  <c r="P19" i="3"/>
  <c r="R18" i="3"/>
  <c r="Q18" i="3"/>
  <c r="P18" i="3"/>
  <c r="R17" i="3"/>
  <c r="Q17" i="3"/>
  <c r="D13" i="3" s="1"/>
  <c r="P17" i="3"/>
  <c r="K50" i="3"/>
  <c r="L50" i="3" s="1"/>
  <c r="M50" i="3" s="1"/>
  <c r="K25" i="3"/>
  <c r="L25" i="3" s="1"/>
  <c r="M25" i="3"/>
  <c r="K56" i="3"/>
  <c r="L56" i="3" s="1"/>
  <c r="M56" i="3"/>
  <c r="K55" i="3"/>
  <c r="L55" i="3" s="1"/>
  <c r="M55" i="3"/>
  <c r="K54" i="3"/>
  <c r="L54" i="3" s="1"/>
  <c r="M54" i="3"/>
  <c r="K53" i="3"/>
  <c r="L53" i="3" s="1"/>
  <c r="M53" i="3"/>
  <c r="K52" i="3"/>
  <c r="L52" i="3" s="1"/>
  <c r="M52" i="3"/>
  <c r="K51" i="3"/>
  <c r="L51" i="3" s="1"/>
  <c r="M51" i="3"/>
  <c r="K43" i="3"/>
  <c r="L43" i="3" s="1"/>
  <c r="M43" i="3"/>
  <c r="K42" i="3"/>
  <c r="L42" i="3" s="1"/>
  <c r="K40" i="3"/>
  <c r="L40" i="3" s="1"/>
  <c r="K38" i="3"/>
  <c r="L38" i="3" s="1"/>
  <c r="K49" i="3"/>
  <c r="L49" i="3" s="1"/>
  <c r="M49" i="3"/>
  <c r="K48" i="3"/>
  <c r="L48" i="3" s="1"/>
  <c r="M48" i="3"/>
  <c r="K47" i="3"/>
  <c r="L47" i="3" s="1"/>
  <c r="M47" i="3"/>
  <c r="K46" i="3"/>
  <c r="L46" i="3" s="1"/>
  <c r="M46" i="3"/>
  <c r="K45" i="3"/>
  <c r="L45" i="3" s="1"/>
  <c r="M45" i="3"/>
  <c r="K44" i="3"/>
  <c r="L44" i="3" s="1"/>
  <c r="M44" i="3"/>
  <c r="M42" i="3"/>
  <c r="K41" i="3"/>
  <c r="L41" i="3" s="1"/>
  <c r="M41" i="3" s="1"/>
  <c r="M40" i="3"/>
  <c r="K39" i="3"/>
  <c r="L39" i="3" s="1"/>
  <c r="M39" i="3" s="1"/>
  <c r="M38" i="3"/>
  <c r="K37" i="3"/>
  <c r="L37" i="3" s="1"/>
  <c r="M37" i="3"/>
  <c r="K36" i="3"/>
  <c r="L36" i="3" s="1"/>
  <c r="M36" i="3"/>
  <c r="K35" i="3"/>
  <c r="L35" i="3" s="1"/>
  <c r="M35" i="3"/>
  <c r="K34" i="3"/>
  <c r="L34" i="3" s="1"/>
  <c r="M34" i="3"/>
  <c r="K33" i="3"/>
  <c r="L33" i="3" s="1"/>
  <c r="M33" i="3"/>
  <c r="K32" i="3"/>
  <c r="L32" i="3" s="1"/>
  <c r="M32" i="3"/>
  <c r="K31" i="3"/>
  <c r="L31" i="3" s="1"/>
  <c r="M31" i="3"/>
  <c r="K30" i="3"/>
  <c r="L30" i="3" s="1"/>
  <c r="M30" i="3"/>
  <c r="K29" i="3"/>
  <c r="L29" i="3" s="1"/>
  <c r="M29" i="3"/>
  <c r="K28" i="3"/>
  <c r="L28" i="3" s="1"/>
  <c r="M28" i="3"/>
  <c r="K27" i="3"/>
  <c r="L27" i="3" s="1"/>
  <c r="M27" i="3"/>
  <c r="K26" i="3"/>
  <c r="L26" i="3" s="1"/>
  <c r="M26" i="3"/>
  <c r="K24" i="3"/>
  <c r="L24" i="3" s="1"/>
  <c r="M24" i="3"/>
  <c r="K23" i="3"/>
  <c r="L23" i="3" s="1"/>
  <c r="M23" i="3"/>
  <c r="K22" i="3"/>
  <c r="L22" i="3" s="1"/>
  <c r="M22" i="3"/>
  <c r="K21" i="3"/>
  <c r="L21" i="3" s="1"/>
  <c r="M21" i="3"/>
  <c r="K20" i="3"/>
  <c r="L20" i="3" s="1"/>
  <c r="M20" i="3"/>
  <c r="K19" i="3"/>
  <c r="L19" i="3" s="1"/>
  <c r="M19" i="3"/>
  <c r="K18" i="3"/>
  <c r="L18" i="3" s="1"/>
  <c r="M18" i="3"/>
  <c r="K17" i="3"/>
  <c r="L17" i="3" s="1"/>
  <c r="M17" i="3" s="1"/>
  <c r="S166" i="5" l="1"/>
  <c r="S112" i="5"/>
  <c r="S104" i="5"/>
  <c r="S103" i="5"/>
  <c r="S101" i="5"/>
  <c r="S94" i="5"/>
  <c r="S93" i="5"/>
  <c r="S91" i="5"/>
  <c r="S88" i="5"/>
  <c r="S86" i="5"/>
  <c r="S45" i="5"/>
  <c r="S199" i="5"/>
  <c r="S198" i="5"/>
  <c r="S189" i="5"/>
  <c r="S145" i="5"/>
  <c r="S125" i="5"/>
  <c r="S115" i="5"/>
  <c r="S114" i="5"/>
  <c r="S113" i="5"/>
  <c r="S109" i="5"/>
  <c r="S108" i="5"/>
  <c r="S106" i="5"/>
  <c r="S99" i="5"/>
  <c r="S96" i="5"/>
  <c r="S97" i="5"/>
  <c r="S85" i="5"/>
  <c r="S84" i="5"/>
  <c r="S83" i="5"/>
  <c r="S82" i="5"/>
  <c r="S81" i="5"/>
  <c r="S80" i="5"/>
  <c r="S79" i="5"/>
  <c r="S78" i="5"/>
  <c r="S77" i="5"/>
  <c r="S76" i="5"/>
  <c r="S75" i="5"/>
  <c r="S73" i="5"/>
  <c r="S72" i="5"/>
  <c r="S71" i="5"/>
  <c r="S69" i="5"/>
  <c r="S68" i="5"/>
  <c r="S67" i="5"/>
  <c r="S66" i="5"/>
  <c r="S48" i="5"/>
  <c r="S25" i="5"/>
  <c r="S16" i="5"/>
  <c r="S11" i="5"/>
  <c r="S100" i="5"/>
  <c r="S98" i="5"/>
  <c r="S95" i="5"/>
  <c r="S92" i="5"/>
  <c r="S90" i="5"/>
  <c r="S87" i="5"/>
  <c r="N156" i="5"/>
  <c r="S156" i="5" s="1"/>
  <c r="O156" i="5"/>
  <c r="P156" i="5"/>
  <c r="Q156" i="5"/>
  <c r="R156" i="5"/>
  <c r="N54" i="5"/>
  <c r="O54" i="5"/>
  <c r="P54" i="5"/>
  <c r="Q54" i="5"/>
  <c r="R54" i="5"/>
  <c r="S54" i="5"/>
  <c r="P49" i="5"/>
  <c r="N49" i="5"/>
  <c r="O49" i="5"/>
  <c r="Q49" i="5"/>
  <c r="R49" i="5"/>
  <c r="V20" i="5"/>
  <c r="T56" i="3"/>
  <c r="S56" i="3"/>
  <c r="U56" i="3" s="1"/>
  <c r="V56" i="3" s="1"/>
  <c r="S55" i="3"/>
  <c r="U55" i="3" s="1"/>
  <c r="V55" i="3" s="1"/>
  <c r="T55" i="3"/>
  <c r="S54" i="3"/>
  <c r="U54" i="3" s="1"/>
  <c r="V54" i="3" s="1"/>
  <c r="T54" i="3"/>
  <c r="T53" i="3"/>
  <c r="S53" i="3"/>
  <c r="U53" i="3" s="1"/>
  <c r="V53" i="3" s="1"/>
  <c r="S52" i="3"/>
  <c r="U52" i="3" s="1"/>
  <c r="V52" i="3" s="1"/>
  <c r="T52" i="3"/>
  <c r="T51" i="3"/>
  <c r="S51" i="3"/>
  <c r="U51" i="3" s="1"/>
  <c r="V51" i="3" s="1"/>
  <c r="T50" i="3"/>
  <c r="S50" i="3"/>
  <c r="U50" i="3" s="1"/>
  <c r="V50" i="3" s="1"/>
  <c r="S49" i="3"/>
  <c r="U49" i="3" s="1"/>
  <c r="V49" i="3" s="1"/>
  <c r="T49" i="3"/>
  <c r="S48" i="3"/>
  <c r="U48" i="3" s="1"/>
  <c r="V48" i="3" s="1"/>
  <c r="T48" i="3"/>
  <c r="S47" i="3"/>
  <c r="U47" i="3" s="1"/>
  <c r="V47" i="3" s="1"/>
  <c r="T47" i="3"/>
  <c r="S46" i="3"/>
  <c r="U46" i="3" s="1"/>
  <c r="V46" i="3" s="1"/>
  <c r="T46" i="3"/>
  <c r="S45" i="3"/>
  <c r="U45" i="3" s="1"/>
  <c r="V45" i="3" s="1"/>
  <c r="T45" i="3"/>
  <c r="S44" i="3"/>
  <c r="U44" i="3" s="1"/>
  <c r="V44" i="3" s="1"/>
  <c r="T44" i="3"/>
  <c r="S43" i="3"/>
  <c r="U43" i="3" s="1"/>
  <c r="V43" i="3" s="1"/>
  <c r="T43" i="3"/>
  <c r="S42" i="3"/>
  <c r="U42" i="3" s="1"/>
  <c r="V42" i="3" s="1"/>
  <c r="T42" i="3"/>
  <c r="S41" i="3"/>
  <c r="U41" i="3" s="1"/>
  <c r="V41" i="3" s="1"/>
  <c r="T41" i="3"/>
  <c r="S40" i="3"/>
  <c r="U40" i="3" s="1"/>
  <c r="V40" i="3" s="1"/>
  <c r="T40" i="3"/>
  <c r="S39" i="3"/>
  <c r="U39" i="3" s="1"/>
  <c r="V39" i="3" s="1"/>
  <c r="T39" i="3"/>
  <c r="S38" i="3"/>
  <c r="U38" i="3" s="1"/>
  <c r="V38" i="3" s="1"/>
  <c r="T38" i="3"/>
  <c r="S37" i="3"/>
  <c r="U37" i="3" s="1"/>
  <c r="V37" i="3" s="1"/>
  <c r="T37" i="3"/>
  <c r="S36" i="3"/>
  <c r="U36" i="3" s="1"/>
  <c r="V36" i="3" s="1"/>
  <c r="T36" i="3"/>
  <c r="S35" i="3"/>
  <c r="U35" i="3" s="1"/>
  <c r="V35" i="3" s="1"/>
  <c r="T35" i="3"/>
  <c r="S34" i="3"/>
  <c r="U34" i="3" s="1"/>
  <c r="V34" i="3" s="1"/>
  <c r="T34" i="3"/>
  <c r="S33" i="3"/>
  <c r="U33" i="3" s="1"/>
  <c r="V33" i="3" s="1"/>
  <c r="T33" i="3"/>
  <c r="S32" i="3"/>
  <c r="U32" i="3" s="1"/>
  <c r="V32" i="3" s="1"/>
  <c r="T32" i="3"/>
  <c r="S31" i="3"/>
  <c r="U31" i="3" s="1"/>
  <c r="V31" i="3" s="1"/>
  <c r="T31" i="3"/>
  <c r="S30" i="3"/>
  <c r="U30" i="3" s="1"/>
  <c r="V30" i="3" s="1"/>
  <c r="T30" i="3"/>
  <c r="S29" i="3"/>
  <c r="U29" i="3" s="1"/>
  <c r="V29" i="3" s="1"/>
  <c r="T29" i="3"/>
  <c r="S28" i="3"/>
  <c r="U28" i="3" s="1"/>
  <c r="V28" i="3" s="1"/>
  <c r="T28" i="3"/>
  <c r="S27" i="3"/>
  <c r="U27" i="3" s="1"/>
  <c r="V27" i="3" s="1"/>
  <c r="T27" i="3"/>
  <c r="S26" i="3"/>
  <c r="U26" i="3" s="1"/>
  <c r="V26" i="3" s="1"/>
  <c r="T26" i="3"/>
  <c r="S25" i="3"/>
  <c r="U25" i="3" s="1"/>
  <c r="V25" i="3" s="1"/>
  <c r="T25" i="3"/>
  <c r="S24" i="3"/>
  <c r="U24" i="3" s="1"/>
  <c r="V24" i="3" s="1"/>
  <c r="T24" i="3"/>
  <c r="S23" i="3"/>
  <c r="U23" i="3" s="1"/>
  <c r="V23" i="3" s="1"/>
  <c r="T23" i="3"/>
  <c r="S22" i="3"/>
  <c r="U22" i="3" s="1"/>
  <c r="V22" i="3" s="1"/>
  <c r="T22" i="3"/>
  <c r="S21" i="3"/>
  <c r="U21" i="3" s="1"/>
  <c r="V21" i="3" s="1"/>
  <c r="T21" i="3"/>
  <c r="S20" i="3"/>
  <c r="U20" i="3" s="1"/>
  <c r="V20" i="3" s="1"/>
  <c r="T20" i="3"/>
  <c r="S19" i="3"/>
  <c r="U19" i="3" s="1"/>
  <c r="V19" i="3" s="1"/>
  <c r="T19" i="3"/>
  <c r="S18" i="3"/>
  <c r="U18" i="3" s="1"/>
  <c r="V18" i="3" s="1"/>
  <c r="T18" i="3"/>
  <c r="S17" i="3"/>
  <c r="T17" i="3"/>
  <c r="V9" i="5" l="1"/>
  <c r="W9" i="5"/>
  <c r="V10" i="5"/>
  <c r="W10" i="5"/>
  <c r="V8" i="5"/>
  <c r="W8" i="5"/>
  <c r="S49" i="5"/>
  <c r="V6" i="5"/>
  <c r="W6" i="5"/>
  <c r="V7" i="5"/>
  <c r="W7" i="5"/>
  <c r="U17" i="3"/>
  <c r="B6" i="3"/>
  <c r="D10" i="3"/>
  <c r="D8" i="3"/>
  <c r="B7" i="3"/>
  <c r="B8" i="3"/>
  <c r="D7" i="3"/>
  <c r="D6" i="3"/>
  <c r="D12" i="3"/>
  <c r="V14" i="5" l="1"/>
  <c r="W11" i="5"/>
  <c r="V11" i="5"/>
  <c r="X6" i="5" s="1"/>
  <c r="V13" i="5"/>
  <c r="A6" i="6" s="1"/>
  <c r="V15" i="5"/>
  <c r="B9" i="3"/>
  <c r="C6" i="3"/>
  <c r="D9" i="3"/>
  <c r="E6" i="3" s="1"/>
  <c r="V17" i="3"/>
  <c r="D11" i="3"/>
  <c r="X8" i="5" l="1"/>
  <c r="X10" i="5"/>
  <c r="X9" i="5"/>
  <c r="X7" i="5"/>
  <c r="C8" i="3"/>
  <c r="C7" i="3"/>
  <c r="C9" i="3" s="1"/>
  <c r="E7" i="3"/>
  <c r="E8" i="3"/>
  <c r="W17" i="3"/>
  <c r="W56" i="3"/>
  <c r="W55" i="3"/>
  <c r="W54" i="3"/>
  <c r="W53" i="3"/>
  <c r="W51" i="3"/>
  <c r="W50" i="3"/>
  <c r="W49" i="3"/>
  <c r="W47" i="3"/>
  <c r="W46" i="3"/>
  <c r="W29" i="3"/>
  <c r="W52" i="3"/>
  <c r="W39" i="3"/>
  <c r="W48" i="3"/>
  <c r="W45" i="3"/>
  <c r="W44" i="3"/>
  <c r="W43" i="3"/>
  <c r="W42" i="3"/>
  <c r="W41" i="3"/>
  <c r="W40" i="3"/>
  <c r="W38" i="3"/>
  <c r="W37" i="3"/>
  <c r="W36" i="3"/>
  <c r="W35" i="3"/>
  <c r="W33" i="3"/>
  <c r="W32" i="3"/>
  <c r="W31" i="3"/>
  <c r="W28" i="3"/>
  <c r="W34" i="3"/>
  <c r="W30" i="3"/>
  <c r="W27" i="3"/>
  <c r="W26" i="3"/>
  <c r="W25" i="3"/>
  <c r="W24" i="3"/>
  <c r="W23" i="3"/>
  <c r="W22" i="3"/>
  <c r="W21" i="3"/>
  <c r="W20" i="3"/>
  <c r="W19" i="3"/>
  <c r="W18" i="3"/>
  <c r="A5" i="6" l="1"/>
  <c r="X11" i="5"/>
  <c r="B6" i="4"/>
  <c r="B8" i="4"/>
  <c r="B9" i="4"/>
  <c r="B12" i="4"/>
  <c r="B15" i="4"/>
  <c r="B7" i="4"/>
  <c r="B10" i="4"/>
  <c r="B14" i="4"/>
  <c r="B11" i="4"/>
  <c r="B13" i="4"/>
  <c r="E9" i="3"/>
  <c r="D6" i="4" l="1"/>
  <c r="G6" i="4"/>
  <c r="I6" i="4"/>
  <c r="K6" i="4"/>
  <c r="C6" i="4"/>
  <c r="E6" i="4"/>
  <c r="F6" i="4"/>
  <c r="H6" i="4"/>
  <c r="J6" i="4"/>
  <c r="L6" i="4"/>
  <c r="E8" i="4"/>
  <c r="I8" i="4"/>
  <c r="C8" i="4"/>
  <c r="G8" i="4"/>
  <c r="K8" i="4"/>
  <c r="D8" i="4"/>
  <c r="F8" i="4"/>
  <c r="H8" i="4"/>
  <c r="J8" i="4"/>
  <c r="L8" i="4"/>
  <c r="F9" i="4"/>
  <c r="H9" i="4"/>
  <c r="J9" i="4"/>
  <c r="L9" i="4"/>
  <c r="E9" i="4"/>
  <c r="C9" i="4"/>
  <c r="D9" i="4"/>
  <c r="G9" i="4"/>
  <c r="I9" i="4"/>
  <c r="K9" i="4"/>
  <c r="E12" i="4"/>
  <c r="G12" i="4"/>
  <c r="I12" i="4"/>
  <c r="J12" i="4"/>
  <c r="L12" i="4"/>
  <c r="C12" i="4"/>
  <c r="D12" i="4"/>
  <c r="F12" i="4"/>
  <c r="H12" i="4"/>
  <c r="K12" i="4"/>
  <c r="C15" i="4"/>
  <c r="D15" i="4"/>
  <c r="E15" i="4"/>
  <c r="F15" i="4"/>
  <c r="G15" i="4"/>
  <c r="H15" i="4"/>
  <c r="I15" i="4"/>
  <c r="J15" i="4"/>
  <c r="K15" i="4"/>
  <c r="L15" i="4"/>
  <c r="G7" i="4"/>
  <c r="K7" i="4"/>
  <c r="C7" i="4"/>
  <c r="E7" i="4"/>
  <c r="H7" i="4"/>
  <c r="J7" i="4"/>
  <c r="L7" i="4"/>
  <c r="D7" i="4"/>
  <c r="F7" i="4"/>
  <c r="I7" i="4"/>
  <c r="E10" i="4"/>
  <c r="H10" i="4"/>
  <c r="K10" i="4"/>
  <c r="C10" i="4"/>
  <c r="F10" i="4"/>
  <c r="D10" i="4"/>
  <c r="G10" i="4"/>
  <c r="I10" i="4"/>
  <c r="J10" i="4"/>
  <c r="L10" i="4"/>
  <c r="D14" i="4"/>
  <c r="F14" i="4"/>
  <c r="J14" i="4"/>
  <c r="K14" i="4"/>
  <c r="L14" i="4"/>
  <c r="C14" i="4"/>
  <c r="E14" i="4"/>
  <c r="G14" i="4"/>
  <c r="H14" i="4"/>
  <c r="I14" i="4"/>
  <c r="D11" i="4"/>
  <c r="G11" i="4"/>
  <c r="H11" i="4"/>
  <c r="K11" i="4"/>
  <c r="L11" i="4"/>
  <c r="C11" i="4"/>
  <c r="F11" i="4"/>
  <c r="I11" i="4"/>
  <c r="E11" i="4"/>
  <c r="J11" i="4"/>
  <c r="C13" i="4"/>
  <c r="D13" i="4"/>
  <c r="E13" i="4"/>
  <c r="F13" i="4"/>
  <c r="G13" i="4"/>
  <c r="H13" i="4"/>
  <c r="I13" i="4"/>
  <c r="J13" i="4"/>
  <c r="K13" i="4"/>
  <c r="L13" i="4"/>
  <c r="M11" i="4" l="1"/>
  <c r="M12" i="4"/>
  <c r="M14" i="4"/>
  <c r="M6" i="4"/>
  <c r="M9" i="4"/>
  <c r="M8" i="4"/>
  <c r="M15" i="4"/>
  <c r="M7" i="4"/>
  <c r="M10" i="4"/>
  <c r="M13" i="4"/>
</calcChain>
</file>

<file path=xl/sharedStrings.xml><?xml version="1.0" encoding="utf-8"?>
<sst xmlns="http://schemas.openxmlformats.org/spreadsheetml/2006/main" count="435" uniqueCount="373">
  <si>
    <t>Inventory Health &amp; Lead-Time KPI Case (learning project)</t>
  </si>
  <si>
    <t>SYNTHETIC DATA - personal learning project. Not company data. No real savings or impact.</t>
  </si>
  <si>
    <t>Purpose</t>
  </si>
  <si>
    <t>Show how to turn inventory and process-timestamp data into manager-ready KPIs with live Excel formulas: safety stock, reorder point, days of cover, status classes, a top-10 exception list, and step-level lead-time analysis.</t>
  </si>
  <si>
    <t>Data</t>
  </si>
  <si>
    <t>ALL numbers are SYNTHETIC, generated with a fixed random seed (42) by build_case.py. 40 SKUs, 200 assembly orders. Nothing here comes from tesa, Airbus or any other company. Currency 'EUR' is a label only.</t>
  </si>
  <si>
    <t>How to read</t>
  </si>
  <si>
    <t>1) Inputs: blue cells are editable assumptions/data. 2) Inventory_Health: per-SKU formulas + summary KPIs + chart. 3) Exceptions: top-10 SKUs by EUR exposure with a recommended action. 4) LeadTime_Analysis: event log, step durations, average / P90, bottleneck, data-quality checks, chart. 5) Recommendation: what a manager would do.</t>
  </si>
  <si>
    <t>Safety stock</t>
  </si>
  <si>
    <t>SS = z * SQRT( (L + R) * sigma_d^2 + mu_d^2 * sigma_L^2 ), all in weeks. L = lead time, R = review period, sigma_d = weekly demand std, mu_d = weekly demand mean, sigma_L = lead-time std. z = NORM.S.INV(target service level).</t>
  </si>
  <si>
    <t>Reorder point</t>
  </si>
  <si>
    <t>ROP = mu_d * (L + R) + SS  (demand over the protection interval plus safety stock), compared against inventory position = on-hand + on-order.</t>
  </si>
  <si>
    <t>Status rules</t>
  </si>
  <si>
    <t>Stockout risk: inventory position &lt; ROP.  Overstock: not at risk AND days of cover (on-hand / daily demand) &gt; overstock threshold (Inputs!B6).  Otherwise Healthy. Rule order matters: stockout risk is tested first.</t>
  </si>
  <si>
    <t>Service-level proxy</t>
  </si>
  <si>
    <t>P(no stockout in protection interval) = NORM.S.DIST((IP - mu_d*(L+R)) / sigma_protection, TRUE). A cycle-service-level proxy, not a fill rate.</t>
  </si>
  <si>
    <t>Exposure / ranking</t>
  </si>
  <si>
    <t>Exposure (EUR) = shortfall to ROP x unit cost for stockout-risk SKUs; on-hand above the overstock threshold x unit cost for overstock SKUs; 0 if healthy. Ties are broken by row order. Top-10 uses RANK + INDEX/MATCH (works in Excel 2016+; no dynamic arrays).</t>
  </si>
  <si>
    <t>Lead time</t>
  </si>
  <si>
    <t>Each order has 6 timestamps (release + end of 5 steps). Step duration (h) = difference of consecutive timestamps. Rows with a missing timestamp or a negative duration are flagged and EXCLUDED from all averages/percentiles (whole row). P90 = PERCENTILE (inclusive).</t>
  </si>
  <si>
    <t>Limitations</t>
  </si>
  <si>
    <t>Demand is assumed normal and independent week to week; lead time normal and independent of demand; one echelon, no MOQ/lot sizes, no capacity limits, no stock-out cost model; ABC classes are assigned by design, not computed. Thresholds are illustrative. Step durations include waiting time. Results describe the synthetic data only and say nothing about any real operation.</t>
  </si>
  <si>
    <t>Inputs (blue = editable)</t>
  </si>
  <si>
    <t>Global parameters</t>
  </si>
  <si>
    <t>ABC class</t>
  </si>
  <si>
    <t>Target service level</t>
  </si>
  <si>
    <t>z-value = NORM.S.INV(service level) is computed per SKU on Inventory_Health.</t>
  </si>
  <si>
    <t>Review period (weeks)</t>
  </si>
  <si>
    <t>A</t>
  </si>
  <si>
    <t>Days per week</t>
  </si>
  <si>
    <t>B</t>
  </si>
  <si>
    <t>Overstock threshold (days of cover)</t>
  </si>
  <si>
    <t>C</t>
  </si>
  <si>
    <t>High-variability CV threshold</t>
  </si>
  <si>
    <t>SKU master data and stock position (synthetic)</t>
  </si>
  <si>
    <t>SKU</t>
  </si>
  <si>
    <t>Weekly demand mean (units)</t>
  </si>
  <si>
    <t>Weekly demand std (units)</t>
  </si>
  <si>
    <t>Unit cost (EUR)</t>
  </si>
  <si>
    <t>On-hand stock (units)</t>
  </si>
  <si>
    <t>On-order (units)</t>
  </si>
  <si>
    <t>Supplier lead time (days)</t>
  </si>
  <si>
    <t>Lead-time std (days)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</si>
  <si>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</si>
  <si>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</si>
  <si>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</si>
  <si>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</si>
  <si>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</si>
  <si>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</si>
  <si>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</si>
  <si>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</si>
  <si>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</si>
  <si>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</si>
  <si>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SKU-011</t>
  </si>
  <si>
    <t>SKU-012</t>
  </si>
  <si>
    <t>SKU-013</t>
  </si>
  <si>
    <t>SKU-014</t>
  </si>
  <si>
    <t>SKU-015</t>
  </si>
  <si>
    <t>SKU-016</t>
  </si>
  <si>
    <t>SKU-017</t>
  </si>
  <si>
    <t>SKU-018</t>
  </si>
  <si>
    <t>SKU-019</t>
  </si>
  <si>
    <t>SKU-020</t>
  </si>
  <si>
    <t>SKU-021</t>
  </si>
  <si>
    <t>SKU-022</t>
  </si>
  <si>
    <t>SKU-023</t>
  </si>
  <si>
    <t>SKU-024</t>
  </si>
  <si>
    <t>SKU-025</t>
  </si>
  <si>
    <t>SKU-026</t>
  </si>
  <si>
    <t>SKU-027</t>
  </si>
  <si>
    <t>SKU-028</t>
  </si>
  <si>
    <t>SKU-029</t>
  </si>
  <si>
    <t>SKU-030</t>
  </si>
  <si>
    <t>SKU-031</t>
  </si>
  <si>
    <t>SKU-032</t>
  </si>
  <si>
    <t>SKU-033</t>
  </si>
  <si>
    <t>SKU-034</t>
  </si>
  <si>
    <t>SKU-035</t>
  </si>
  <si>
    <t>SKU-036</t>
  </si>
  <si>
    <t>SKU-037</t>
  </si>
  <si>
    <t>SKU-038</t>
  </si>
  <si>
    <t>SKU-039</t>
  </si>
  <si>
    <t>SKU-040</t>
  </si>
  <si>
    <t>Inventory health - per-SKU formulas and summary KPIs</t>
  </si>
  <si>
    <t>Summary KPIs</t>
  </si>
  <si>
    <t>Status</t>
  </si>
  <si>
    <t>SKUs</t>
  </si>
  <si>
    <t>Share of SKUs</t>
  </si>
  <si>
    <t>Inventory value EUR</t>
  </si>
  <si>
    <t>Share of value</t>
  </si>
  <si>
    <t>Stockout risk</t>
  </si>
  <si>
    <t>Healthy</t>
  </si>
  <si>
    <t>Overstock</t>
  </si>
  <si>
    <t>Total</t>
  </si>
  <si>
    <t>Exposure: stockout shortfall to ROP (EUR)</t>
  </si>
  <si>
    <t>Exposure: overstock excess above threshold (EUR)</t>
  </si>
  <si>
    <t>Average service-level proxy (SKU mean)</t>
  </si>
  <si>
    <t>Median days of cover</t>
  </si>
  <si>
    <t>SKUs with high demand variability (master-data review)</t>
  </si>
  <si>
    <t>Class</t>
  </si>
  <si>
    <t>Demand mean /wk</t>
  </si>
  <si>
    <t>Demand std /wk</t>
  </si>
  <si>
    <t>Unit cost EUR</t>
  </si>
  <si>
    <t>Target SL</t>
  </si>
  <si>
    <t>z</t>
  </si>
  <si>
    <t>L (weeks)</t>
  </si>
  <si>
    <t>R (weeks)</t>
  </si>
  <si>
    <t>sigma_L (weeks)</t>
  </si>
  <si>
    <t>sigma protection (units)</t>
  </si>
  <si>
    <t>Safety stock (units)</t>
  </si>
  <si>
    <t>Reorder point (units)</t>
  </si>
  <si>
    <t>On-hand</t>
  </si>
  <si>
    <t>On-order</t>
  </si>
  <si>
    <t>Inventory position</t>
  </si>
  <si>
    <t>Days of cover</t>
  </si>
  <si>
    <t>Exposure EUR</t>
  </si>
  <si>
    <t>Priority score</t>
  </si>
  <si>
    <t>Rank</t>
  </si>
  <si>
    <t>Data flag</t>
  </si>
  <si>
    <t>Exceptions - top 10 SKUs needing action (by EUR exposure)</t>
  </si>
  <si>
    <t>Ranked on Inventory_Health!W via INDEX/MATCH (Excel 2016+ compatible). Actions are text rules driven by status.</t>
  </si>
  <si>
    <t>Row in table</t>
  </si>
  <si>
    <t>Inv. position</t>
  </si>
  <si>
    <t>Recommended action</t>
  </si>
  <si>
    <t>Lead-time analysis - synthetic event log, 5 process steps</t>
  </si>
  <si>
    <t>Timestamps = completion of each step (release time first). Durations in hours; rows failing the data-quality check are excluded from statistics.</t>
  </si>
  <si>
    <t>Step statistics (clean rows only)</t>
  </si>
  <si>
    <t>Order</t>
  </si>
  <si>
    <t>Release</t>
  </si>
  <si>
    <t>Kitting end</t>
  </si>
  <si>
    <t>Assembly end</t>
  </si>
  <si>
    <t>Test end</t>
  </si>
  <si>
    <t>Quality release end</t>
  </si>
  <si>
    <t>Handover end</t>
  </si>
  <si>
    <t>Kitting (h)</t>
  </si>
  <si>
    <t>Assembly (h)</t>
  </si>
  <si>
    <t>Test (h)</t>
  </si>
  <si>
    <t>Quality release (h)</t>
  </si>
  <si>
    <t>Handover (h)</t>
  </si>
  <si>
    <t>Data check</t>
  </si>
  <si>
    <t>Kitting clean (h)</t>
  </si>
  <si>
    <t>Assembly clean (h)</t>
  </si>
  <si>
    <t>Test clean (h)</t>
  </si>
  <si>
    <t>Quality release clean (h)</t>
  </si>
  <si>
    <t>Handover clean (h)</t>
  </si>
  <si>
    <t>End-to-end clean (h)</t>
  </si>
  <si>
    <t>Step</t>
  </si>
  <si>
    <t>Average (h)</t>
  </si>
  <si>
    <t>P90 (h)</t>
  </si>
  <si>
    <t>Share of avg end-to-end</t>
  </si>
  <si>
    <t>ORD-0061</t>
  </si>
  <si>
    <t>Kitting</t>
  </si>
  <si>
    <t>ORD-0023</t>
  </si>
  <si>
    <t>Assembly</t>
  </si>
  <si>
    <t>ORD-0089</t>
  </si>
  <si>
    <t>Test</t>
  </si>
  <si>
    <t>ORD-0200</t>
  </si>
  <si>
    <t>Quality release</t>
  </si>
  <si>
    <t>ORD-0004</t>
  </si>
  <si>
    <t>Handover</t>
  </si>
  <si>
    <t>ORD-0151</t>
  </si>
  <si>
    <t>End-to-end</t>
  </si>
  <si>
    <t>ORD-0037</t>
  </si>
  <si>
    <t>ORD-0070</t>
  </si>
  <si>
    <t>Bottleneck step (highest average)</t>
  </si>
  <si>
    <t>ORD-0099</t>
  </si>
  <si>
    <t>Bottleneck step (highest P90)</t>
  </si>
  <si>
    <t>ORD-0017</t>
  </si>
  <si>
    <t>Longest-step average (h)</t>
  </si>
  <si>
    <t>ORD-0018</t>
  </si>
  <si>
    <t>ORD-0122</t>
  </si>
  <si>
    <t>Data-quality check</t>
  </si>
  <si>
    <t>ORD-0108</t>
  </si>
  <si>
    <t>Orders in log</t>
  </si>
  <si>
    <t>ORD-0113</t>
  </si>
  <si>
    <t>OK (used in statistics)</t>
  </si>
  <si>
    <t>ORD-0077</t>
  </si>
  <si>
    <t>Flagged: missing timestamp</t>
  </si>
  <si>
    <t>ORD-0134</t>
  </si>
  <si>
    <t>Flagged: negative duration</t>
  </si>
  <si>
    <t>ORD-0181</t>
  </si>
  <si>
    <t>Share of usable records</t>
  </si>
  <si>
    <t>ORD-0094</t>
  </si>
  <si>
    <t>ORD-0112</t>
  </si>
  <si>
    <t>ORD-0170</t>
  </si>
  <si>
    <t>ORD-0050</t>
  </si>
  <si>
    <t>ORD-0005</t>
  </si>
  <si>
    <t>ORD-0007</t>
  </si>
  <si>
    <t>ORD-0060</t>
  </si>
  <si>
    <t>ORD-0139</t>
  </si>
  <si>
    <t>ORD-0188</t>
  </si>
  <si>
    <t>ORD-0073</t>
  </si>
  <si>
    <t>ORD-0076</t>
  </si>
  <si>
    <t>ORD-0071</t>
  </si>
  <si>
    <t>ORD-0123</t>
  </si>
  <si>
    <t>ORD-0146</t>
  </si>
  <si>
    <t>ORD-0030</t>
  </si>
  <si>
    <t>ORD-0120</t>
  </si>
  <si>
    <t>ORD-0096</t>
  </si>
  <si>
    <t>ORD-0033</t>
  </si>
  <si>
    <t>ORD-0149</t>
  </si>
  <si>
    <t>ORD-0192</t>
  </si>
  <si>
    <t>ORD-0174</t>
  </si>
  <si>
    <t>ORD-0160</t>
  </si>
  <si>
    <t>ORD-0097</t>
  </si>
  <si>
    <t>ORD-0135</t>
  </si>
  <si>
    <t>ORD-0158</t>
  </si>
  <si>
    <t>ORD-0102</t>
  </si>
  <si>
    <t>ORD-0190</t>
  </si>
  <si>
    <t>ORD-0164</t>
  </si>
  <si>
    <t>ORD-0058</t>
  </si>
  <si>
    <t>ORD-0133</t>
  </si>
  <si>
    <t>ORD-0161</t>
  </si>
  <si>
    <t>ORD-0056</t>
  </si>
  <si>
    <t>ORD-0176</t>
  </si>
  <si>
    <t>ORD-0034</t>
  </si>
  <si>
    <t>ORD-0184</t>
  </si>
  <si>
    <t>ORD-0006</t>
  </si>
  <si>
    <t>ORD-0163</t>
  </si>
  <si>
    <t>ORD-0048</t>
  </si>
  <si>
    <t>ORD-0025</t>
  </si>
  <si>
    <t>ORD-0159</t>
  </si>
  <si>
    <t>ORD-0065</t>
  </si>
  <si>
    <t>ORD-0195</t>
  </si>
  <si>
    <t>ORD-0166</t>
  </si>
  <si>
    <t>ORD-0130</t>
  </si>
  <si>
    <t>ORD-0052</t>
  </si>
  <si>
    <t>ORD-0119</t>
  </si>
  <si>
    <t>ORD-0011</t>
  </si>
  <si>
    <t>ORD-0162</t>
  </si>
  <si>
    <t>ORD-0068</t>
  </si>
  <si>
    <t>ORD-0078</t>
  </si>
  <si>
    <t>ORD-0116</t>
  </si>
  <si>
    <t>ORD-0062</t>
  </si>
  <si>
    <t>ORD-0080</t>
  </si>
  <si>
    <t>ORD-0091</t>
  </si>
  <si>
    <t>ORD-0114</t>
  </si>
  <si>
    <t>ORD-0079</t>
  </si>
  <si>
    <t>ORD-0057</t>
  </si>
  <si>
    <t>ORD-0045</t>
  </si>
  <si>
    <t>ORD-0095</t>
  </si>
  <si>
    <t>ORD-0047</t>
  </si>
  <si>
    <t>ORD-0145</t>
  </si>
  <si>
    <t>ORD-0059</t>
  </si>
  <si>
    <t>ORD-0177</t>
  </si>
  <si>
    <t>ORD-0103</t>
  </si>
  <si>
    <t>ORD-0046</t>
  </si>
  <si>
    <t>ORD-0055</t>
  </si>
  <si>
    <t>ORD-0118</t>
  </si>
  <si>
    <t>ORD-0198</t>
  </si>
  <si>
    <t>ORD-0199</t>
  </si>
  <si>
    <t>ORD-0180</t>
  </si>
  <si>
    <t>ORD-0194</t>
  </si>
  <si>
    <t>ORD-0019</t>
  </si>
  <si>
    <t>ORD-0185</t>
  </si>
  <si>
    <t>ORD-0125</t>
  </si>
  <si>
    <t>ORD-0141</t>
  </si>
  <si>
    <t>ORD-0085</t>
  </si>
  <si>
    <t>ORD-0132</t>
  </si>
  <si>
    <t>ORD-0107</t>
  </si>
  <si>
    <t>ORD-0087</t>
  </si>
  <si>
    <t>ORD-0022</t>
  </si>
  <si>
    <t>ORD-0128</t>
  </si>
  <si>
    <t>ORD-0104</t>
  </si>
  <si>
    <t>ORD-0098</t>
  </si>
  <si>
    <t>ORD-0127</t>
  </si>
  <si>
    <t>ORD-0032</t>
  </si>
  <si>
    <t>ORD-0152</t>
  </si>
  <si>
    <t>ORD-0016</t>
  </si>
  <si>
    <t>ORD-0053</t>
  </si>
  <si>
    <t>ORD-0012</t>
  </si>
  <si>
    <t>ORD-0003</t>
  </si>
  <si>
    <t>ORD-0157</t>
  </si>
  <si>
    <t>ORD-0175</t>
  </si>
  <si>
    <t>ORD-0179</t>
  </si>
  <si>
    <t>ORD-0138</t>
  </si>
  <si>
    <t>ORD-0042</t>
  </si>
  <si>
    <t>ORD-0008</t>
  </si>
  <si>
    <t>ORD-0131</t>
  </si>
  <si>
    <t>ORD-0069</t>
  </si>
  <si>
    <t>ORD-0013</t>
  </si>
  <si>
    <t>ORD-0193</t>
  </si>
  <si>
    <t>ORD-0153</t>
  </si>
  <si>
    <t>ORD-0183</t>
  </si>
  <si>
    <t>ORD-0187</t>
  </si>
  <si>
    <t>ORD-0036</t>
  </si>
  <si>
    <t>ORD-0144</t>
  </si>
  <si>
    <t>ORD-0101</t>
  </si>
  <si>
    <t>ORD-0035</t>
  </si>
  <si>
    <t>ORD-0147</t>
  </si>
  <si>
    <t>ORD-0171</t>
  </si>
  <si>
    <t>ORD-0156</t>
  </si>
  <si>
    <t>ORD-0010</t>
  </si>
  <si>
    <t>ORD-0066</t>
  </si>
  <si>
    <t>ORD-0105</t>
  </si>
  <si>
    <t>ORD-0067</t>
  </si>
  <si>
    <t>ORD-0109</t>
  </si>
  <si>
    <t>ORD-0150</t>
  </si>
  <si>
    <t>ORD-0115</t>
  </si>
  <si>
    <t>ORD-0074</t>
  </si>
  <si>
    <t>ORD-0001</t>
  </si>
  <si>
    <t>ORD-0083</t>
  </si>
  <si>
    <t>ORD-0196</t>
  </si>
  <si>
    <t>ORD-0173</t>
  </si>
  <si>
    <t>ORD-0106</t>
  </si>
  <si>
    <t>ORD-0165</t>
  </si>
  <si>
    <t>ORD-0029</t>
  </si>
  <si>
    <t>ORD-0142</t>
  </si>
  <si>
    <t>ORD-0136</t>
  </si>
  <si>
    <t>ORD-0129</t>
  </si>
  <si>
    <t>ORD-0140</t>
  </si>
  <si>
    <t>ORD-0044</t>
  </si>
  <si>
    <t>ORD-0072</t>
  </si>
  <si>
    <t>ORD-0117</t>
  </si>
  <si>
    <t>ORD-0027</t>
  </si>
  <si>
    <t>ORD-0054</t>
  </si>
  <si>
    <t>ORD-0111</t>
  </si>
  <si>
    <t>ORD-0182</t>
  </si>
  <si>
    <t>ORD-0082</t>
  </si>
  <si>
    <t>ORD-0075</t>
  </si>
  <si>
    <t>ORD-0155</t>
  </si>
  <si>
    <t>ORD-0002</t>
  </si>
  <si>
    <t>ORD-0126</t>
  </si>
  <si>
    <t>ORD-0015</t>
  </si>
  <si>
    <t>ORD-0186</t>
  </si>
  <si>
    <t>ORD-0014</t>
  </si>
  <si>
    <t>ORD-0092</t>
  </si>
  <si>
    <t>ORD-0031</t>
  </si>
  <si>
    <t>ORD-0038</t>
  </si>
  <si>
    <t>ORD-0191</t>
  </si>
  <si>
    <t>ORD-0043</t>
  </si>
  <si>
    <t>ORD-0028</t>
  </si>
  <si>
    <t>ORD-0084</t>
  </si>
  <si>
    <t>ORD-0100</t>
  </si>
  <si>
    <t>ORD-0063</t>
  </si>
  <si>
    <t>ORD-0167</t>
  </si>
  <si>
    <t>ORD-0143</t>
  </si>
  <si>
    <t>ORD-0197</t>
  </si>
  <si>
    <t>ORD-0124</t>
  </si>
  <si>
    <t>ORD-0026</t>
  </si>
  <si>
    <t>ORD-0040</t>
  </si>
  <si>
    <t>ORD-0110</t>
  </si>
  <si>
    <t>ORD-0020</t>
  </si>
  <si>
    <t>ORD-0137</t>
  </si>
  <si>
    <t>ORD-0049</t>
  </si>
  <si>
    <t>ORD-0088</t>
  </si>
  <si>
    <t>ORD-0168</t>
  </si>
  <si>
    <t>ORD-0021</t>
  </si>
  <si>
    <t>ORD-0093</t>
  </si>
  <si>
    <t>ORD-0024</t>
  </si>
  <si>
    <t>ORD-0039</t>
  </si>
  <si>
    <t>ORD-0064</t>
  </si>
  <si>
    <t>ORD-0172</t>
  </si>
  <si>
    <t>ORD-0051</t>
  </si>
  <si>
    <t>ORD-0148</t>
  </si>
  <si>
    <t>ORD-0041</t>
  </si>
  <si>
    <t>ORD-0009</t>
  </si>
  <si>
    <t>ORD-0154</t>
  </si>
  <si>
    <t>ORD-0189</t>
  </si>
  <si>
    <t>ORD-0169</t>
  </si>
  <si>
    <t>ORD-0121</t>
  </si>
  <si>
    <t>ORD-0178</t>
  </si>
  <si>
    <t>ORD-0081</t>
  </si>
  <si>
    <t>ORD-0086</t>
  </si>
  <si>
    <t>ORD-0090</t>
  </si>
  <si>
    <t>Recommendation (what a manager would do)</t>
  </si>
  <si>
    <t>Findings (formula-driven, update with inputs)</t>
  </si>
  <si>
    <t>Actions</t>
  </si>
  <si>
    <t>1. This week: work the Exceptions list top-down - expedite open orders / place orders for stockout-risk SKUs (A-class first).</t>
  </si>
  <si>
    <t>2. Freeze new replenishment for overstock SKUs until cover falls below the threshold; check with purchasing whether open orders can be cancelled or pushed out.</t>
  </si>
  <si>
    <t>3. Process: look at the bottleneck step first (capacity, shift pattern, waiting before the step) and at what drives the long P90 tail rather than the mean.</t>
  </si>
  <si>
    <t>4. Master data: review SKUs flagged 'High variability' (demand std vs mean, lead-time std) before trusting their safety stock; fix the timestamp gaps at source.</t>
  </si>
  <si>
    <t>5. Re-run monthly: change blue input cells, results and this text update. Treat all figures as illustration of the method, not as evidence about any real plant.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</si>
</sst>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00"/>
    <numFmt numFmtId="167" formatCode="0.0"/>
    <numFmt numFmtId="168" formatCode="yyyy\-mm\-dd\ hh:mm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C00000"/>
      <name val="Calibri"/>
    </font>
    <font>
      <b/>
      <sz val="11"/>
      <name val="Calibri"/>
    </font>
    <font>
      <sz val="11"/>
      <color rgb="FF0000FF"/>
      <name val="Calibri"/>
    </font>
    <font>
      <b/>
      <sz val="11"/>
      <color rgb="FFFFFFFF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0" borderId="1" xfId="0" applyFont="1" applyBorder="1"/>
    <xf numFmtId="0" fontId="0" fillId="0" borderId="1" xfId="0" applyBorder="1"/>
    <xf numFmtId="9" fontId="4" fillId="0" borderId="1" xfId="0" applyNumberFormat="1" applyFont="1" applyBorder="1"/>
    <xf numFmtId="9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0" fontId="3" fillId="0" borderId="1" xfId="0" applyFont="1" applyBorder="1"/>
    <xf numFmtId="165" fontId="3" fillId="0" borderId="1" xfId="0" applyNumberFormat="1" applyFont="1" applyBorder="1"/>
    <xf numFmtId="3" fontId="3" fillId="0" borderId="1" xfId="0" applyNumberFormat="1" applyFont="1" applyBorder="1"/>
    <xf numFmtId="167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4" fontId="0" fillId="0" borderId="1" xfId="0" applyNumberFormat="1" applyBorder="1"/>
    <xf numFmtId="166" fontId="0" fillId="0" borderId="1" xfId="0" applyNumberFormat="1" applyBorder="1"/>
    <xf numFmtId="2" fontId="0" fillId="0" borderId="1" xfId="0" applyNumberFormat="1" applyBorder="1"/>
    <xf numFmtId="168" fontId="4" fillId="0" borderId="0" xfId="0" applyNumberFormat="1" applyFont="1"/>
    <xf numFmtId="167" fontId="0" fillId="0" borderId="0" xfId="0" applyNumberFormat="1"/>
    <xf numFmtId="167" fontId="3" fillId="0" borderId="1" xfId="0" applyNumberFormat="1" applyFont="1" applyBorder="1"/>
    <xf numFmtId="167" fontId="3" fillId="0" borderId="0" xfId="0" applyNumberFormat="1" applyFont="1"/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C6E0B4"/>
          <bgColor rgb="FFC6E0B4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8CBAD"/>
          <b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SKUs per status class (synthetic data)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Inventory_Health!$B$5</c:f>
              <c:strCache>
                <c:ptCount val="1"/>
                <c:pt idx="0">
                  <c:v>SKUs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Inventory_Health!$A$6:$A$8</c:f>
              <c:strCache>
                <c:ptCount val="3"/>
                <c:pt idx="0">
                  <c:v>Stockout risk</c:v>
                </c:pt>
                <c:pt idx="1">
                  <c:v>Healthy</c:v>
                </c:pt>
                <c:pt idx="2">
                  <c:v>Overstock</c:v>
                </c:pt>
              </c:strCache>
            </c:strRef>
          </c:cat>
          <c:val>
            <c:numRef>
              <c:f>Inventory_Health!$B$6:$B$8</c:f>
              <c:numCache>
                <c:formatCode>General</c:formatCode>
                <c:ptCount val="3"/>
                <c:pt idx="0">
                  <c:v>12</c:v>
                </c:pt>
                <c:pt idx="1">
                  <c:v>16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B5-4D0C-8422-508A66D58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SKUs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Average and P90 step duration (h) - synthetic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LeadTime_Analysis!$V$5</c:f>
              <c:strCache>
                <c:ptCount val="1"/>
                <c:pt idx="0">
                  <c:v>Average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LeadTime_Analysis!$U$6:$U$10</c:f>
              <c:strCache>
                <c:ptCount val="5"/>
                <c:pt idx="0">
                  <c:v>Kitting</c:v>
                </c:pt>
                <c:pt idx="1">
                  <c:v>Assembly</c:v>
                </c:pt>
                <c:pt idx="2">
                  <c:v>Test</c:v>
                </c:pt>
                <c:pt idx="3">
                  <c:v>Quality release</c:v>
                </c:pt>
                <c:pt idx="4">
                  <c:v>Handover</c:v>
                </c:pt>
              </c:strCache>
            </c:strRef>
          </c:cat>
          <c:val>
            <c:numRef>
              <c:f>LeadTime_Analysis!$V$6:$V$10</c:f>
              <c:numCache>
                <c:formatCode>0.0</c:formatCode>
                <c:ptCount val="5"/>
                <c:pt idx="0">
                  <c:v>5.9069230769259429</c:v>
                </c:pt>
                <c:pt idx="1">
                  <c:v>20.176153846155817</c:v>
                </c:pt>
                <c:pt idx="2">
                  <c:v>17.673504273502981</c:v>
                </c:pt>
                <c:pt idx="3">
                  <c:v>8.7366666666581292</c:v>
                </c:pt>
                <c:pt idx="4">
                  <c:v>2.9670085470183181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7-4F26-8852-F9E1556FCAC3}"/>
            </c:ext>
          </c:extLst>
        </c:ser>
        <c:ser>
          <c:idx val="1"/>
          <c:order val="1"/>
          <c:tx>
            <c:strRef>
              <c:f>LeadTime_Analysis!$W$5</c:f>
              <c:strCache>
                <c:ptCount val="1"/>
                <c:pt idx="0">
                  <c:v>P90 (h)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LeadTime_Analysis!$U$6:$U$10</c:f>
              <c:strCache>
                <c:ptCount val="5"/>
                <c:pt idx="0">
                  <c:v>Kitting</c:v>
                </c:pt>
                <c:pt idx="1">
                  <c:v>Assembly</c:v>
                </c:pt>
                <c:pt idx="2">
                  <c:v>Test</c:v>
                </c:pt>
                <c:pt idx="3">
                  <c:v>Quality release</c:v>
                </c:pt>
                <c:pt idx="4">
                  <c:v>Handover</c:v>
                </c:pt>
              </c:strCache>
            </c:strRef>
          </c:cat>
          <c:val>
            <c:numRef>
              <c:f>LeadTime_Analysis!$W$6:$W$10</c:f>
              <c:numCache>
                <c:formatCode>0.0</c:formatCode>
                <c:ptCount val="5"/>
                <c:pt idx="0">
                  <c:v>9.0166666666860689</c:v>
                </c:pt>
                <c:pt idx="1">
                  <c:v>27.366666666709353</c:v>
                </c:pt>
                <c:pt idx="2">
                  <c:v>33.866666666767557</c:v>
                </c:pt>
                <c:pt idx="3">
                  <c:v>13.513333333376794</c:v>
                </c:pt>
                <c:pt idx="4">
                  <c:v>4.4266666666720988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7-4F26-8852-F9E1556FC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</xdr:row>
      <xdr:rowOff>0</xdr:rowOff>
    </xdr:from>
    <xdr:ext cx="3960000" cy="23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23</xdr:row>
      <xdr:rowOff>0</xdr:rowOff>
    </xdr:from>
    <xdr:ext cx="540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3"/>
  <sheetViews>
    <sheetView tabSelected="1" workbookViewId="0"/>
  </sheetViews>
  <sheetFormatPr defaultRowHeight="14.4" x14ac:dyDescent="0.3"/>
  <cols>
    <col min="1" max="1" width="20" customWidth="1"/>
    <col min="2" max="2" width="130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ht="61.95" customHeight="1" x14ac:dyDescent="0.3">
      <c r="A4" s="3" t="s">
        <v>2</v>
      </c>
      <c r="B4" s="4" t="s">
        <v>3</v>
      </c>
    </row>
    <row r="5" spans="1:2" ht="61.95" customHeight="1" x14ac:dyDescent="0.3">
      <c r="A5" s="3" t="s">
        <v>4</v>
      </c>
      <c r="B5" s="4" t="s">
        <v>5</v>
      </c>
    </row>
    <row r="6" spans="1:2" ht="61.95" customHeight="1" x14ac:dyDescent="0.3">
      <c r="A6" s="3" t="s">
        <v>6</v>
      </c>
      <c r="B6" s="4" t="s">
        <v>7</v>
      </c>
    </row>
    <row r="7" spans="1:2" ht="61.95" customHeight="1" x14ac:dyDescent="0.3">
      <c r="A7" s="3" t="s">
        <v>8</v>
      </c>
      <c r="B7" s="4" t="s">
        <v>9</v>
      </c>
    </row>
    <row r="8" spans="1:2" ht="61.95" customHeight="1" x14ac:dyDescent="0.3">
      <c r="A8" s="3" t="s">
        <v>10</v>
      </c>
      <c r="B8" s="4" t="s">
        <v>11</v>
      </c>
    </row>
    <row r="9" spans="1:2" ht="61.95" customHeight="1" x14ac:dyDescent="0.3">
      <c r="A9" s="3" t="s">
        <v>12</v>
      </c>
      <c r="B9" s="4" t="s">
        <v>13</v>
      </c>
    </row>
    <row r="10" spans="1:2" ht="61.95" customHeight="1" x14ac:dyDescent="0.3">
      <c r="A10" s="3" t="s">
        <v>14</v>
      </c>
      <c r="B10" s="4" t="s">
        <v>15</v>
      </c>
    </row>
    <row r="11" spans="1:2" ht="61.95" customHeight="1" x14ac:dyDescent="0.3">
      <c r="A11" s="3" t="s">
        <v>16</v>
      </c>
      <c r="B11" s="4" t="s">
        <v>17</v>
      </c>
    </row>
    <row r="12" spans="1:2" ht="61.95" customHeight="1" x14ac:dyDescent="0.3">
      <c r="A12" s="3" t="s">
        <v>18</v>
      </c>
      <c r="B12" s="4" t="s">
        <v>19</v>
      </c>
    </row>
    <row r="13" spans="1:2" ht="61.95" customHeight="1" x14ac:dyDescent="0.3">
      <c r="A13" s="3" t="s">
        <v>20</v>
      </c>
      <c r="B13" s="4" t="s">
        <v>21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1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4" customWidth="1"/>
    <col min="2" max="2" width="12" customWidth="1"/>
    <col min="3" max="4" width="14" customWidth="1"/>
    <col min="5" max="5" width="12" customWidth="1"/>
    <col min="6" max="6" width="14" customWidth="1"/>
    <col min="7" max="7" width="12" customWidth="1"/>
    <col min="8" max="8" width="14" customWidth="1"/>
    <col min="9" max="9" width="12" customWidth="1"/>
    <col min="10" max="11" width="13" customWidth="1"/>
  </cols>
  <sheetData>
    <row r="1" spans="1:11" ht="18" x14ac:dyDescent="0.35">
      <c r="A1" s="1" t="s">
        <v>22</v>
      </c>
    </row>
    <row r="2" spans="1:11" x14ac:dyDescent="0.3">
      <c r="A2" s="2" t="s">
        <v>1</v>
      </c>
    </row>
    <row r="3" spans="1:11" ht="28.8" x14ac:dyDescent="0.3">
      <c r="A3" s="5" t="s">
        <v>23</v>
      </c>
      <c r="E3" s="6" t="s">
        <v>24</v>
      </c>
      <c r="F3" s="6" t="s">
        <v>25</v>
      </c>
      <c r="H3" s="7" t="s">
        <v>26</v>
      </c>
    </row>
    <row r="4" spans="1:11" x14ac:dyDescent="0.3">
      <c r="A4" t="s">
        <v>27</v>
      </c>
      <c r="B4" s="8">
        <v>1</v>
      </c>
      <c r="E4" s="9" t="s">
        <v>28</v>
      </c>
      <c r="F4" s="10">
        <v>0.98</v>
      </c>
    </row>
    <row r="5" spans="1:11" x14ac:dyDescent="0.3">
      <c r="A5" t="s">
        <v>29</v>
      </c>
      <c r="B5" s="8">
        <v>7</v>
      </c>
      <c r="E5" s="9" t="s">
        <v>30</v>
      </c>
      <c r="F5" s="10">
        <v>0.95</v>
      </c>
    </row>
    <row r="6" spans="1:11" x14ac:dyDescent="0.3">
      <c r="A6" t="s">
        <v>31</v>
      </c>
      <c r="B6" s="8">
        <v>90</v>
      </c>
      <c r="E6" s="9" t="s">
        <v>32</v>
      </c>
      <c r="F6" s="10">
        <v>0.9</v>
      </c>
    </row>
    <row r="7" spans="1:11" x14ac:dyDescent="0.3">
      <c r="A7" t="s">
        <v>33</v>
      </c>
      <c r="B7" s="8">
        <v>0.6</v>
      </c>
    </row>
    <row r="9" spans="1:11" x14ac:dyDescent="0.3">
      <c r="A9" s="5" t="s">
        <v>34</v>
      </c>
    </row>
    <row r="11" spans="1:11" ht="45" customHeight="1" x14ac:dyDescent="0.3">
      <c r="A11" s="6" t="s">
        <v>35</v>
      </c>
      <c r="B11" s="6" t="s">
        <v>24</v>
      </c>
      <c r="C11" s="6" t="s">
        <v>36</v>
      </c>
      <c r="D11" s="6" t="s">
        <v>37</v>
      </c>
      <c r="E11" s="6" t="s">
        <v>38</v>
      </c>
      <c r="F11" s="6" t="s">
        <v>39</v>
      </c>
      <c r="G11" s="6" t="s">
        <v>40</v>
      </c>
      <c r="H11" s="6" t="s">
        <v>41</v>
      </c>
      <c r="I11" s="6" t="s">
        <v>42</v>
      </c>
      <c r="J11" s="6" t="s">
        <v>25</v>
      </c>
      <c r="K11" s="6" t="s">
        <v>27</v>
      </c>
    </row>
    <row r="12" spans="1:11" x14ac:dyDescent="0.3">
      <c r="A12" s="9" t="s">
        <v>43</v>
      </c>
      <c r="B12" s="9" t="s">
        <v>28</v>
      </c>
      <c r="C12" s="8">
        <v>509.6</v>
      </c>
      <c r="D12" s="8">
        <v>142.9</v>
      </c>
      <c r="E12" s="8">
        <v>32.36</v>
      </c>
      <c r="F12" s="8">
        <v>12672</v>
      </c>
      <c r="G12" s="8">
        <v>787</v>
      </c>
      <c r="H12" s="8">
        <v>32</v>
      </c>
      <c r="I12" s="8">
        <v>4.5999999999999996</v>
      </c>
      <c r="J12" s="11">
        <f t="shared" ref="J12:J51" si="0">VLOOKUP(B12,$E$4:$F$6,2,FALSE)</f>
        <v>0.98</v>
      </c>
      <c r="K12" s="9">
        <f t="shared" ref="K12:K51" si="1">$B$4</f>
        <v>1</v>
      </c>
    </row>
    <row r="13" spans="1:11" x14ac:dyDescent="0.3">
      <c r="A13" s="9" t="s">
        <v>44</v>
      </c>
      <c r="B13" s="9" t="s">
        <v>28</v>
      </c>
      <c r="C13" s="8">
        <v>225.5</v>
      </c>
      <c r="D13" s="8">
        <v>66.400000000000006</v>
      </c>
      <c r="E13" s="8">
        <v>36.58</v>
      </c>
      <c r="F13" s="8">
        <v>212</v>
      </c>
      <c r="G13" s="8">
        <v>0</v>
      </c>
      <c r="H13" s="8">
        <v>23</v>
      </c>
      <c r="I13" s="8">
        <v>3.8</v>
      </c>
      <c r="J13" s="11">
        <f t="shared" si="0"/>
        <v>0.98</v>
      </c>
      <c r="K13" s="9">
        <f t="shared" si="1"/>
        <v>1</v>
      </c>
    </row>
    <row r="14" spans="1:11" x14ac:dyDescent="0.3">
      <c r="A14" s="9" t="s">
        <v>45</v>
      </c>
      <c r="B14" s="9" t="s">
        <v>28</v>
      </c>
      <c r="C14" s="8">
        <v>330.3</v>
      </c>
      <c r="D14" s="8">
        <v>54</v>
      </c>
      <c r="E14" s="8">
        <v>15.26</v>
      </c>
      <c r="F14" s="8">
        <v>2248</v>
      </c>
      <c r="G14" s="8">
        <v>386</v>
      </c>
      <c r="H14" s="8">
        <v>17</v>
      </c>
      <c r="I14" s="8">
        <v>3.8</v>
      </c>
      <c r="J14" s="11">
        <f t="shared" si="0"/>
        <v>0.98</v>
      </c>
      <c r="K14" s="9">
        <f t="shared" si="1"/>
        <v>1</v>
      </c>
    </row>
    <row r="15" spans="1:11" x14ac:dyDescent="0.3">
      <c r="A15" s="9" t="s">
        <v>46</v>
      </c>
      <c r="B15" s="9" t="s">
        <v>28</v>
      </c>
      <c r="C15" s="8">
        <v>255.9</v>
      </c>
      <c r="D15" s="8">
        <v>77</v>
      </c>
      <c r="E15" s="8">
        <v>32.979999999999997</v>
      </c>
      <c r="F15" s="8">
        <v>643</v>
      </c>
      <c r="G15" s="8">
        <v>0</v>
      </c>
      <c r="H15" s="8">
        <v>32</v>
      </c>
      <c r="I15" s="8">
        <v>2.7</v>
      </c>
      <c r="J15" s="11">
        <f t="shared" si="0"/>
        <v>0.98</v>
      </c>
      <c r="K15" s="9">
        <f t="shared" si="1"/>
        <v>1</v>
      </c>
    </row>
    <row r="16" spans="1:11" x14ac:dyDescent="0.3">
      <c r="A16" s="9" t="s">
        <v>47</v>
      </c>
      <c r="B16" s="9" t="s">
        <v>28</v>
      </c>
      <c r="C16" s="8">
        <v>453.9</v>
      </c>
      <c r="D16" s="8">
        <v>86.2</v>
      </c>
      <c r="E16" s="8">
        <v>14.87</v>
      </c>
      <c r="F16" s="8">
        <v>2489</v>
      </c>
      <c r="G16" s="8">
        <v>0</v>
      </c>
      <c r="H16" s="8">
        <v>14</v>
      </c>
      <c r="I16" s="8">
        <v>0.9</v>
      </c>
      <c r="J16" s="11">
        <f t="shared" si="0"/>
        <v>0.98</v>
      </c>
      <c r="K16" s="9">
        <f t="shared" si="1"/>
        <v>1</v>
      </c>
    </row>
    <row r="17" spans="1:11" x14ac:dyDescent="0.3">
      <c r="A17" s="9" t="s">
        <v>48</v>
      </c>
      <c r="B17" s="9" t="s">
        <v>28</v>
      </c>
      <c r="C17" s="8">
        <v>465.7</v>
      </c>
      <c r="D17" s="8">
        <v>73.8</v>
      </c>
      <c r="E17" s="8">
        <v>31.12</v>
      </c>
      <c r="F17" s="8">
        <v>802</v>
      </c>
      <c r="G17" s="8">
        <v>545</v>
      </c>
      <c r="H17" s="8">
        <v>19</v>
      </c>
      <c r="I17" s="8">
        <v>3.3</v>
      </c>
      <c r="J17" s="11">
        <f t="shared" si="0"/>
        <v>0.98</v>
      </c>
      <c r="K17" s="9">
        <f t="shared" si="1"/>
        <v>1</v>
      </c>
    </row>
    <row r="18" spans="1:11" x14ac:dyDescent="0.3">
      <c r="A18" s="9" t="s">
        <v>49</v>
      </c>
      <c r="B18" s="9" t="s">
        <v>28</v>
      </c>
      <c r="C18" s="8">
        <v>344.7</v>
      </c>
      <c r="D18" s="8">
        <v>117.6</v>
      </c>
      <c r="E18" s="8">
        <v>16.510000000000002</v>
      </c>
      <c r="F18" s="8">
        <v>2680</v>
      </c>
      <c r="G18" s="8">
        <v>196</v>
      </c>
      <c r="H18" s="8">
        <v>19</v>
      </c>
      <c r="I18" s="8">
        <v>3.1</v>
      </c>
      <c r="J18" s="11">
        <f t="shared" si="0"/>
        <v>0.98</v>
      </c>
      <c r="K18" s="9">
        <f t="shared" si="1"/>
        <v>1</v>
      </c>
    </row>
    <row r="19" spans="1:11" x14ac:dyDescent="0.3">
      <c r="A19" s="9" t="s">
        <v>50</v>
      </c>
      <c r="B19" s="9" t="s">
        <v>28</v>
      </c>
      <c r="C19" s="8">
        <v>431.7</v>
      </c>
      <c r="D19" s="8">
        <v>127.1</v>
      </c>
      <c r="E19" s="8">
        <v>28.07</v>
      </c>
      <c r="F19" s="8">
        <v>3649</v>
      </c>
      <c r="G19" s="8">
        <v>115</v>
      </c>
      <c r="H19" s="8">
        <v>29</v>
      </c>
      <c r="I19" s="8">
        <v>2.1</v>
      </c>
      <c r="J19" s="11">
        <f t="shared" si="0"/>
        <v>0.98</v>
      </c>
      <c r="K19" s="9">
        <f t="shared" si="1"/>
        <v>1</v>
      </c>
    </row>
    <row r="20" spans="1:11" x14ac:dyDescent="0.3">
      <c r="A20" s="9" t="s">
        <v>51</v>
      </c>
      <c r="B20" s="9" t="s">
        <v>30</v>
      </c>
      <c r="C20" s="8">
        <v>83.9</v>
      </c>
      <c r="D20" s="8">
        <v>24.1</v>
      </c>
      <c r="E20" s="8">
        <v>28.96</v>
      </c>
      <c r="F20" s="8">
        <v>843</v>
      </c>
      <c r="G20" s="8">
        <v>53</v>
      </c>
      <c r="H20" s="8">
        <v>26</v>
      </c>
      <c r="I20" s="8">
        <v>1.8</v>
      </c>
      <c r="J20" s="11">
        <f t="shared" si="0"/>
        <v>0.95</v>
      </c>
      <c r="K20" s="9">
        <f t="shared" si="1"/>
        <v>1</v>
      </c>
    </row>
    <row r="21" spans="1:11" x14ac:dyDescent="0.3">
      <c r="A21" s="9" t="s">
        <v>52</v>
      </c>
      <c r="B21" s="9" t="s">
        <v>30</v>
      </c>
      <c r="C21" s="8">
        <v>132.9</v>
      </c>
      <c r="D21" s="8">
        <v>54</v>
      </c>
      <c r="E21" s="8">
        <v>18.850000000000001</v>
      </c>
      <c r="F21" s="8">
        <v>1623</v>
      </c>
      <c r="G21" s="8">
        <v>391</v>
      </c>
      <c r="H21" s="8">
        <v>38</v>
      </c>
      <c r="I21" s="8">
        <v>8.3000000000000007</v>
      </c>
      <c r="J21" s="11">
        <f t="shared" si="0"/>
        <v>0.95</v>
      </c>
      <c r="K21" s="9">
        <f t="shared" si="1"/>
        <v>1</v>
      </c>
    </row>
    <row r="22" spans="1:11" x14ac:dyDescent="0.3">
      <c r="A22" s="9" t="s">
        <v>53</v>
      </c>
      <c r="B22" s="9" t="s">
        <v>30</v>
      </c>
      <c r="C22" s="8">
        <v>65.2</v>
      </c>
      <c r="D22" s="8">
        <v>26.6</v>
      </c>
      <c r="E22" s="8">
        <v>28.82</v>
      </c>
      <c r="F22" s="8">
        <v>1611</v>
      </c>
      <c r="G22" s="8">
        <v>0</v>
      </c>
      <c r="H22" s="8">
        <v>32</v>
      </c>
      <c r="I22" s="8">
        <v>3.6</v>
      </c>
      <c r="J22" s="11">
        <f t="shared" si="0"/>
        <v>0.95</v>
      </c>
      <c r="K22" s="9">
        <f t="shared" si="1"/>
        <v>1</v>
      </c>
    </row>
    <row r="23" spans="1:11" x14ac:dyDescent="0.3">
      <c r="A23" s="9" t="s">
        <v>54</v>
      </c>
      <c r="B23" s="9" t="s">
        <v>30</v>
      </c>
      <c r="C23" s="8">
        <v>164.8</v>
      </c>
      <c r="D23" s="8">
        <v>54.3</v>
      </c>
      <c r="E23" s="8">
        <v>21.54</v>
      </c>
      <c r="F23" s="8">
        <v>1756</v>
      </c>
      <c r="G23" s="8">
        <v>342</v>
      </c>
      <c r="H23" s="8">
        <v>28</v>
      </c>
      <c r="I23" s="8">
        <v>2.1</v>
      </c>
      <c r="J23" s="11">
        <f t="shared" si="0"/>
        <v>0.95</v>
      </c>
      <c r="K23" s="9">
        <f t="shared" si="1"/>
        <v>1</v>
      </c>
    </row>
    <row r="24" spans="1:11" x14ac:dyDescent="0.3">
      <c r="A24" s="9" t="s">
        <v>55</v>
      </c>
      <c r="B24" s="9" t="s">
        <v>30</v>
      </c>
      <c r="C24" s="8">
        <v>85.1</v>
      </c>
      <c r="D24" s="8">
        <v>21.2</v>
      </c>
      <c r="E24" s="8">
        <v>29.3</v>
      </c>
      <c r="F24" s="8">
        <v>718</v>
      </c>
      <c r="G24" s="8">
        <v>0</v>
      </c>
      <c r="H24" s="8">
        <v>25</v>
      </c>
      <c r="I24" s="8">
        <v>1.3</v>
      </c>
      <c r="J24" s="11">
        <f t="shared" si="0"/>
        <v>0.95</v>
      </c>
      <c r="K24" s="9">
        <f t="shared" si="1"/>
        <v>1</v>
      </c>
    </row>
    <row r="25" spans="1:11" x14ac:dyDescent="0.3">
      <c r="A25" s="9" t="s">
        <v>56</v>
      </c>
      <c r="B25" s="9" t="s">
        <v>30</v>
      </c>
      <c r="C25" s="8">
        <v>141.4</v>
      </c>
      <c r="D25" s="8">
        <v>53.6</v>
      </c>
      <c r="E25" s="8">
        <v>8.09</v>
      </c>
      <c r="F25" s="8">
        <v>813</v>
      </c>
      <c r="G25" s="8">
        <v>205</v>
      </c>
      <c r="H25" s="8">
        <v>15</v>
      </c>
      <c r="I25" s="8">
        <v>2.2000000000000002</v>
      </c>
      <c r="J25" s="11">
        <f t="shared" si="0"/>
        <v>0.95</v>
      </c>
      <c r="K25" s="9">
        <f t="shared" si="1"/>
        <v>1</v>
      </c>
    </row>
    <row r="26" spans="1:11" x14ac:dyDescent="0.3">
      <c r="A26" s="9" t="s">
        <v>57</v>
      </c>
      <c r="B26" s="9" t="s">
        <v>30</v>
      </c>
      <c r="C26" s="8">
        <v>137.69999999999999</v>
      </c>
      <c r="D26" s="8">
        <v>32.4</v>
      </c>
      <c r="E26" s="8">
        <v>19.899999999999999</v>
      </c>
      <c r="F26" s="8">
        <v>4488</v>
      </c>
      <c r="G26" s="8">
        <v>0</v>
      </c>
      <c r="H26" s="8">
        <v>36</v>
      </c>
      <c r="I26" s="8">
        <v>6</v>
      </c>
      <c r="J26" s="11">
        <f t="shared" si="0"/>
        <v>0.95</v>
      </c>
      <c r="K26" s="9">
        <f t="shared" si="1"/>
        <v>1</v>
      </c>
    </row>
    <row r="27" spans="1:11" x14ac:dyDescent="0.3">
      <c r="A27" s="9" t="s">
        <v>58</v>
      </c>
      <c r="B27" s="9" t="s">
        <v>30</v>
      </c>
      <c r="C27" s="8">
        <v>134.30000000000001</v>
      </c>
      <c r="D27" s="8">
        <v>47.1</v>
      </c>
      <c r="E27" s="8">
        <v>15.65</v>
      </c>
      <c r="F27" s="8">
        <v>1175</v>
      </c>
      <c r="G27" s="8">
        <v>0</v>
      </c>
      <c r="H27" s="8">
        <v>38</v>
      </c>
      <c r="I27" s="8">
        <v>10.1</v>
      </c>
      <c r="J27" s="11">
        <f t="shared" si="0"/>
        <v>0.95</v>
      </c>
      <c r="K27" s="9">
        <f t="shared" si="1"/>
        <v>1</v>
      </c>
    </row>
    <row r="28" spans="1:11" x14ac:dyDescent="0.3">
      <c r="A28" s="9" t="s">
        <v>59</v>
      </c>
      <c r="B28" s="9" t="s">
        <v>30</v>
      </c>
      <c r="C28" s="8">
        <v>69.3</v>
      </c>
      <c r="D28" s="8">
        <v>28.2</v>
      </c>
      <c r="E28" s="8">
        <v>28.02</v>
      </c>
      <c r="F28" s="8">
        <v>35</v>
      </c>
      <c r="G28" s="8">
        <v>64</v>
      </c>
      <c r="H28" s="8">
        <v>15</v>
      </c>
      <c r="I28" s="8">
        <v>1.3</v>
      </c>
      <c r="J28" s="11">
        <f t="shared" si="0"/>
        <v>0.95</v>
      </c>
      <c r="K28" s="9">
        <f t="shared" si="1"/>
        <v>1</v>
      </c>
    </row>
    <row r="29" spans="1:11" x14ac:dyDescent="0.3">
      <c r="A29" s="9" t="s">
        <v>60</v>
      </c>
      <c r="B29" s="9" t="s">
        <v>30</v>
      </c>
      <c r="C29" s="8">
        <v>115.1</v>
      </c>
      <c r="D29" s="8">
        <v>48.2</v>
      </c>
      <c r="E29" s="8">
        <v>9.5399999999999991</v>
      </c>
      <c r="F29" s="8">
        <v>512</v>
      </c>
      <c r="G29" s="8">
        <v>0</v>
      </c>
      <c r="H29" s="8">
        <v>20</v>
      </c>
      <c r="I29" s="8">
        <v>2.2000000000000002</v>
      </c>
      <c r="J29" s="11">
        <f t="shared" si="0"/>
        <v>0.95</v>
      </c>
      <c r="K29" s="9">
        <f t="shared" si="1"/>
        <v>1</v>
      </c>
    </row>
    <row r="30" spans="1:11" x14ac:dyDescent="0.3">
      <c r="A30" s="9" t="s">
        <v>61</v>
      </c>
      <c r="B30" s="9" t="s">
        <v>30</v>
      </c>
      <c r="C30" s="8">
        <v>176.7</v>
      </c>
      <c r="D30" s="8">
        <v>39.700000000000003</v>
      </c>
      <c r="E30" s="8">
        <v>29.49</v>
      </c>
      <c r="F30" s="8">
        <v>4644</v>
      </c>
      <c r="G30" s="8">
        <v>0</v>
      </c>
      <c r="H30" s="8">
        <v>30</v>
      </c>
      <c r="I30" s="8">
        <v>6.3</v>
      </c>
      <c r="J30" s="11">
        <f t="shared" si="0"/>
        <v>0.95</v>
      </c>
      <c r="K30" s="9">
        <f t="shared" si="1"/>
        <v>1</v>
      </c>
    </row>
    <row r="31" spans="1:11" x14ac:dyDescent="0.3">
      <c r="A31" s="9" t="s">
        <v>62</v>
      </c>
      <c r="B31" s="9" t="s">
        <v>30</v>
      </c>
      <c r="C31" s="8">
        <v>113.9</v>
      </c>
      <c r="D31" s="8">
        <v>26.8</v>
      </c>
      <c r="E31" s="8">
        <v>10.81</v>
      </c>
      <c r="F31" s="8">
        <v>1358</v>
      </c>
      <c r="G31" s="8">
        <v>0</v>
      </c>
      <c r="H31" s="8">
        <v>38</v>
      </c>
      <c r="I31" s="8">
        <v>5.4</v>
      </c>
      <c r="J31" s="11">
        <f t="shared" si="0"/>
        <v>0.95</v>
      </c>
      <c r="K31" s="9">
        <f t="shared" si="1"/>
        <v>1</v>
      </c>
    </row>
    <row r="32" spans="1:11" x14ac:dyDescent="0.3">
      <c r="A32" s="9" t="s">
        <v>63</v>
      </c>
      <c r="B32" s="9" t="s">
        <v>32</v>
      </c>
      <c r="C32" s="8">
        <v>23.1</v>
      </c>
      <c r="D32" s="8">
        <v>15.2</v>
      </c>
      <c r="E32" s="8">
        <v>9.86</v>
      </c>
      <c r="F32" s="8">
        <v>26</v>
      </c>
      <c r="G32" s="8">
        <v>0</v>
      </c>
      <c r="H32" s="8">
        <v>10</v>
      </c>
      <c r="I32" s="8">
        <v>2.2999999999999998</v>
      </c>
      <c r="J32" s="11">
        <f t="shared" si="0"/>
        <v>0.9</v>
      </c>
      <c r="K32" s="9">
        <f t="shared" si="1"/>
        <v>1</v>
      </c>
    </row>
    <row r="33" spans="1:11" x14ac:dyDescent="0.3">
      <c r="A33" s="9" t="s">
        <v>64</v>
      </c>
      <c r="B33" s="9" t="s">
        <v>32</v>
      </c>
      <c r="C33" s="8">
        <v>9.6</v>
      </c>
      <c r="D33" s="8">
        <v>8</v>
      </c>
      <c r="E33" s="8">
        <v>11.96</v>
      </c>
      <c r="F33" s="8">
        <v>173</v>
      </c>
      <c r="G33" s="8">
        <v>0</v>
      </c>
      <c r="H33" s="8">
        <v>22</v>
      </c>
      <c r="I33" s="8">
        <v>5.5</v>
      </c>
      <c r="J33" s="11">
        <f t="shared" si="0"/>
        <v>0.9</v>
      </c>
      <c r="K33" s="9">
        <f t="shared" si="1"/>
        <v>1</v>
      </c>
    </row>
    <row r="34" spans="1:11" x14ac:dyDescent="0.3">
      <c r="A34" s="9" t="s">
        <v>65</v>
      </c>
      <c r="B34" s="9" t="s">
        <v>32</v>
      </c>
      <c r="C34" s="8">
        <v>36.5</v>
      </c>
      <c r="D34" s="8">
        <v>26.3</v>
      </c>
      <c r="E34" s="8">
        <v>9.39</v>
      </c>
      <c r="F34" s="8">
        <v>21</v>
      </c>
      <c r="G34" s="8">
        <v>0</v>
      </c>
      <c r="H34" s="8">
        <v>14</v>
      </c>
      <c r="I34" s="8">
        <v>1.1000000000000001</v>
      </c>
      <c r="J34" s="11">
        <f t="shared" si="0"/>
        <v>0.9</v>
      </c>
      <c r="K34" s="9">
        <f t="shared" si="1"/>
        <v>1</v>
      </c>
    </row>
    <row r="35" spans="1:11" x14ac:dyDescent="0.3">
      <c r="A35" s="9" t="s">
        <v>66</v>
      </c>
      <c r="B35" s="9" t="s">
        <v>32</v>
      </c>
      <c r="C35" s="8">
        <v>54.4</v>
      </c>
      <c r="D35" s="8">
        <v>27.2</v>
      </c>
      <c r="E35" s="8">
        <v>3.07</v>
      </c>
      <c r="F35" s="8">
        <v>947</v>
      </c>
      <c r="G35" s="8">
        <v>0</v>
      </c>
      <c r="H35" s="8">
        <v>57</v>
      </c>
      <c r="I35" s="8">
        <v>16.2</v>
      </c>
      <c r="J35" s="11">
        <f t="shared" si="0"/>
        <v>0.9</v>
      </c>
      <c r="K35" s="9">
        <f t="shared" si="1"/>
        <v>1</v>
      </c>
    </row>
    <row r="36" spans="1:11" x14ac:dyDescent="0.3">
      <c r="A36" s="9" t="s">
        <v>67</v>
      </c>
      <c r="B36" s="9" t="s">
        <v>32</v>
      </c>
      <c r="C36" s="8">
        <v>25.7</v>
      </c>
      <c r="D36" s="8">
        <v>21.2</v>
      </c>
      <c r="E36" s="8">
        <v>9.92</v>
      </c>
      <c r="F36" s="8">
        <v>117</v>
      </c>
      <c r="G36" s="8">
        <v>17</v>
      </c>
      <c r="H36" s="8">
        <v>13</v>
      </c>
      <c r="I36" s="8">
        <v>2.6</v>
      </c>
      <c r="J36" s="11">
        <f t="shared" si="0"/>
        <v>0.9</v>
      </c>
      <c r="K36" s="9">
        <f t="shared" si="1"/>
        <v>1</v>
      </c>
    </row>
    <row r="37" spans="1:11" x14ac:dyDescent="0.3">
      <c r="A37" s="9" t="s">
        <v>68</v>
      </c>
      <c r="B37" s="9" t="s">
        <v>32</v>
      </c>
      <c r="C37" s="8">
        <v>55.5</v>
      </c>
      <c r="D37" s="8">
        <v>47.1</v>
      </c>
      <c r="E37" s="8">
        <v>12.72</v>
      </c>
      <c r="F37" s="8">
        <v>989</v>
      </c>
      <c r="G37" s="8">
        <v>0</v>
      </c>
      <c r="H37" s="8">
        <v>13</v>
      </c>
      <c r="I37" s="8">
        <v>1</v>
      </c>
      <c r="J37" s="11">
        <f t="shared" si="0"/>
        <v>0.9</v>
      </c>
      <c r="K37" s="9">
        <f t="shared" si="1"/>
        <v>1</v>
      </c>
    </row>
    <row r="38" spans="1:11" x14ac:dyDescent="0.3">
      <c r="A38" s="9" t="s">
        <v>69</v>
      </c>
      <c r="B38" s="9" t="s">
        <v>32</v>
      </c>
      <c r="C38" s="8">
        <v>12.9</v>
      </c>
      <c r="D38" s="8">
        <v>10.3</v>
      </c>
      <c r="E38" s="8">
        <v>1.08</v>
      </c>
      <c r="F38" s="8">
        <v>221</v>
      </c>
      <c r="G38" s="8">
        <v>0</v>
      </c>
      <c r="H38" s="8">
        <v>15</v>
      </c>
      <c r="I38" s="8">
        <v>3</v>
      </c>
      <c r="J38" s="11">
        <f t="shared" si="0"/>
        <v>0.9</v>
      </c>
      <c r="K38" s="9">
        <f t="shared" si="1"/>
        <v>1</v>
      </c>
    </row>
    <row r="39" spans="1:11" x14ac:dyDescent="0.3">
      <c r="A39" s="9" t="s">
        <v>70</v>
      </c>
      <c r="B39" s="9" t="s">
        <v>32</v>
      </c>
      <c r="C39" s="8">
        <v>43.4</v>
      </c>
      <c r="D39" s="8">
        <v>17.8</v>
      </c>
      <c r="E39" s="8">
        <v>11.43</v>
      </c>
      <c r="F39" s="8">
        <v>862</v>
      </c>
      <c r="G39" s="8">
        <v>35</v>
      </c>
      <c r="H39" s="8">
        <v>9</v>
      </c>
      <c r="I39" s="8">
        <v>1.9</v>
      </c>
      <c r="J39" s="11">
        <f t="shared" si="0"/>
        <v>0.9</v>
      </c>
      <c r="K39" s="9">
        <f t="shared" si="1"/>
        <v>1</v>
      </c>
    </row>
    <row r="40" spans="1:11" x14ac:dyDescent="0.3">
      <c r="A40" s="9" t="s">
        <v>71</v>
      </c>
      <c r="B40" s="9" t="s">
        <v>32</v>
      </c>
      <c r="C40" s="8">
        <v>8</v>
      </c>
      <c r="D40" s="8">
        <v>6.3</v>
      </c>
      <c r="E40" s="8">
        <v>2.2799999999999998</v>
      </c>
      <c r="F40" s="8">
        <v>113</v>
      </c>
      <c r="G40" s="8">
        <v>30</v>
      </c>
      <c r="H40" s="8">
        <v>48</v>
      </c>
      <c r="I40" s="8">
        <v>14.2</v>
      </c>
      <c r="J40" s="11">
        <f t="shared" si="0"/>
        <v>0.9</v>
      </c>
      <c r="K40" s="9">
        <f t="shared" si="1"/>
        <v>1</v>
      </c>
    </row>
    <row r="41" spans="1:11" x14ac:dyDescent="0.3">
      <c r="A41" s="9" t="s">
        <v>72</v>
      </c>
      <c r="B41" s="9" t="s">
        <v>32</v>
      </c>
      <c r="C41" s="8">
        <v>43.5</v>
      </c>
      <c r="D41" s="8">
        <v>16.600000000000001</v>
      </c>
      <c r="E41" s="8">
        <v>7.64</v>
      </c>
      <c r="F41" s="8">
        <v>39</v>
      </c>
      <c r="G41" s="8">
        <v>0</v>
      </c>
      <c r="H41" s="8">
        <v>16</v>
      </c>
      <c r="I41" s="8">
        <v>1.3</v>
      </c>
      <c r="J41" s="11">
        <f t="shared" si="0"/>
        <v>0.9</v>
      </c>
      <c r="K41" s="9">
        <f t="shared" si="1"/>
        <v>1</v>
      </c>
    </row>
    <row r="42" spans="1:11" x14ac:dyDescent="0.3">
      <c r="A42" s="9" t="s">
        <v>73</v>
      </c>
      <c r="B42" s="9" t="s">
        <v>32</v>
      </c>
      <c r="C42" s="8">
        <v>27.5</v>
      </c>
      <c r="D42" s="8">
        <v>13</v>
      </c>
      <c r="E42" s="8">
        <v>7.64</v>
      </c>
      <c r="F42" s="8">
        <v>149</v>
      </c>
      <c r="G42" s="8">
        <v>32</v>
      </c>
      <c r="H42" s="8">
        <v>14</v>
      </c>
      <c r="I42" s="8">
        <v>2.7</v>
      </c>
      <c r="J42" s="11">
        <f t="shared" si="0"/>
        <v>0.9</v>
      </c>
      <c r="K42" s="9">
        <f t="shared" si="1"/>
        <v>1</v>
      </c>
    </row>
    <row r="43" spans="1:11" x14ac:dyDescent="0.3">
      <c r="A43" s="9" t="s">
        <v>74</v>
      </c>
      <c r="B43" s="9" t="s">
        <v>32</v>
      </c>
      <c r="C43" s="8">
        <v>39.4</v>
      </c>
      <c r="D43" s="8">
        <v>27.8</v>
      </c>
      <c r="E43" s="8">
        <v>8.0500000000000007</v>
      </c>
      <c r="F43" s="8">
        <v>1021</v>
      </c>
      <c r="G43" s="8">
        <v>5</v>
      </c>
      <c r="H43" s="8">
        <v>19</v>
      </c>
      <c r="I43" s="8">
        <v>3.4</v>
      </c>
      <c r="J43" s="11">
        <f t="shared" si="0"/>
        <v>0.9</v>
      </c>
      <c r="K43" s="9">
        <f t="shared" si="1"/>
        <v>1</v>
      </c>
    </row>
    <row r="44" spans="1:11" x14ac:dyDescent="0.3">
      <c r="A44" s="9" t="s">
        <v>75</v>
      </c>
      <c r="B44" s="9" t="s">
        <v>32</v>
      </c>
      <c r="C44" s="8">
        <v>20.399999999999999</v>
      </c>
      <c r="D44" s="8">
        <v>9.6999999999999993</v>
      </c>
      <c r="E44" s="8">
        <v>12.58</v>
      </c>
      <c r="F44" s="8">
        <v>64</v>
      </c>
      <c r="G44" s="8">
        <v>0</v>
      </c>
      <c r="H44" s="8">
        <v>45</v>
      </c>
      <c r="I44" s="8">
        <v>6.4</v>
      </c>
      <c r="J44" s="11">
        <f t="shared" si="0"/>
        <v>0.9</v>
      </c>
      <c r="K44" s="9">
        <f t="shared" si="1"/>
        <v>1</v>
      </c>
    </row>
    <row r="45" spans="1:11" x14ac:dyDescent="0.3">
      <c r="A45" s="9" t="s">
        <v>76</v>
      </c>
      <c r="B45" s="9" t="s">
        <v>32</v>
      </c>
      <c r="C45" s="8">
        <v>22.1</v>
      </c>
      <c r="D45" s="8">
        <v>11.3</v>
      </c>
      <c r="E45" s="8">
        <v>3.93</v>
      </c>
      <c r="F45" s="8">
        <v>43</v>
      </c>
      <c r="G45" s="8">
        <v>0</v>
      </c>
      <c r="H45" s="8">
        <v>53</v>
      </c>
      <c r="I45" s="8">
        <v>9.6</v>
      </c>
      <c r="J45" s="11">
        <f t="shared" si="0"/>
        <v>0.9</v>
      </c>
      <c r="K45" s="9">
        <f t="shared" si="1"/>
        <v>1</v>
      </c>
    </row>
    <row r="46" spans="1:11" x14ac:dyDescent="0.3">
      <c r="A46" s="9" t="s">
        <v>77</v>
      </c>
      <c r="B46" s="9" t="s">
        <v>32</v>
      </c>
      <c r="C46" s="8">
        <v>12.8</v>
      </c>
      <c r="D46" s="8">
        <v>4.4000000000000004</v>
      </c>
      <c r="E46" s="8">
        <v>7.57</v>
      </c>
      <c r="F46" s="8">
        <v>279</v>
      </c>
      <c r="G46" s="8">
        <v>34</v>
      </c>
      <c r="H46" s="8">
        <v>56</v>
      </c>
      <c r="I46" s="8">
        <v>5.3</v>
      </c>
      <c r="J46" s="11">
        <f t="shared" si="0"/>
        <v>0.9</v>
      </c>
      <c r="K46" s="9">
        <f t="shared" si="1"/>
        <v>1</v>
      </c>
    </row>
    <row r="47" spans="1:11" x14ac:dyDescent="0.3">
      <c r="A47" s="9" t="s">
        <v>78</v>
      </c>
      <c r="B47" s="9" t="s">
        <v>32</v>
      </c>
      <c r="C47" s="8">
        <v>18.399999999999999</v>
      </c>
      <c r="D47" s="8">
        <v>12.1</v>
      </c>
      <c r="E47" s="8">
        <v>1.81</v>
      </c>
      <c r="F47" s="8">
        <v>117</v>
      </c>
      <c r="G47" s="8">
        <v>0</v>
      </c>
      <c r="H47" s="8">
        <v>15</v>
      </c>
      <c r="I47" s="8">
        <v>2.1</v>
      </c>
      <c r="J47" s="11">
        <f t="shared" si="0"/>
        <v>0.9</v>
      </c>
      <c r="K47" s="9">
        <f t="shared" si="1"/>
        <v>1</v>
      </c>
    </row>
    <row r="48" spans="1:11" x14ac:dyDescent="0.3">
      <c r="A48" s="9" t="s">
        <v>79</v>
      </c>
      <c r="B48" s="9" t="s">
        <v>32</v>
      </c>
      <c r="C48" s="8">
        <v>55</v>
      </c>
      <c r="D48" s="8">
        <v>26.8</v>
      </c>
      <c r="E48" s="8">
        <v>2.4700000000000002</v>
      </c>
      <c r="F48" s="8">
        <v>174</v>
      </c>
      <c r="G48" s="8">
        <v>55</v>
      </c>
      <c r="H48" s="8">
        <v>8</v>
      </c>
      <c r="I48" s="8">
        <v>2.2000000000000002</v>
      </c>
      <c r="J48" s="11">
        <f t="shared" si="0"/>
        <v>0.9</v>
      </c>
      <c r="K48" s="9">
        <f t="shared" si="1"/>
        <v>1</v>
      </c>
    </row>
    <row r="49" spans="1:11" x14ac:dyDescent="0.3">
      <c r="A49" s="9" t="s">
        <v>80</v>
      </c>
      <c r="B49" s="9" t="s">
        <v>32</v>
      </c>
      <c r="C49" s="8">
        <v>37.9</v>
      </c>
      <c r="D49" s="8">
        <v>26</v>
      </c>
      <c r="E49" s="8">
        <v>9.69</v>
      </c>
      <c r="F49" s="8">
        <v>359</v>
      </c>
      <c r="G49" s="8">
        <v>0</v>
      </c>
      <c r="H49" s="8">
        <v>28</v>
      </c>
      <c r="I49" s="8">
        <v>4.7</v>
      </c>
      <c r="J49" s="11">
        <f t="shared" si="0"/>
        <v>0.9</v>
      </c>
      <c r="K49" s="9">
        <f t="shared" si="1"/>
        <v>1</v>
      </c>
    </row>
    <row r="50" spans="1:11" x14ac:dyDescent="0.3">
      <c r="A50" s="9" t="s">
        <v>81</v>
      </c>
      <c r="B50" s="9" t="s">
        <v>32</v>
      </c>
      <c r="C50" s="8">
        <v>45.3</v>
      </c>
      <c r="D50" s="8">
        <v>29.9</v>
      </c>
      <c r="E50" s="8">
        <v>5.04</v>
      </c>
      <c r="F50" s="8">
        <v>430</v>
      </c>
      <c r="G50" s="8">
        <v>185</v>
      </c>
      <c r="H50" s="8">
        <v>51</v>
      </c>
      <c r="I50" s="8">
        <v>12.1</v>
      </c>
      <c r="J50" s="11">
        <f t="shared" si="0"/>
        <v>0.9</v>
      </c>
      <c r="K50" s="9">
        <f t="shared" si="1"/>
        <v>1</v>
      </c>
    </row>
    <row r="51" spans="1:11" x14ac:dyDescent="0.3">
      <c r="A51" s="9" t="s">
        <v>82</v>
      </c>
      <c r="B51" s="9" t="s">
        <v>32</v>
      </c>
      <c r="C51" s="8">
        <v>27.6</v>
      </c>
      <c r="D51" s="8">
        <v>16.7</v>
      </c>
      <c r="E51" s="8">
        <v>12.52</v>
      </c>
      <c r="F51" s="8">
        <v>255</v>
      </c>
      <c r="G51" s="8">
        <v>0</v>
      </c>
      <c r="H51" s="8">
        <v>46</v>
      </c>
      <c r="I51" s="8">
        <v>2.7</v>
      </c>
      <c r="J51" s="11">
        <f t="shared" si="0"/>
        <v>0.9</v>
      </c>
      <c r="K51" s="9">
        <f t="shared" si="1"/>
        <v>1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6"/>
  <sheetViews>
    <sheetView workbookViewId="0">
      <pane xSplit="1" ySplit="16" topLeftCell="B1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6" customWidth="1"/>
    <col min="2" max="2" width="9" customWidth="1"/>
    <col min="3" max="3" width="12" customWidth="1"/>
    <col min="4" max="4" width="14" customWidth="1"/>
    <col min="5" max="5" width="12" customWidth="1"/>
    <col min="6" max="6" width="9" customWidth="1"/>
    <col min="7" max="7" width="8" customWidth="1"/>
    <col min="8" max="9" width="9" customWidth="1"/>
    <col min="10" max="10" width="10" customWidth="1"/>
    <col min="11" max="11" width="12" customWidth="1"/>
    <col min="12" max="13" width="11" customWidth="1"/>
    <col min="14" max="15" width="10" customWidth="1"/>
    <col min="16" max="16" width="11" customWidth="1"/>
    <col min="17" max="17" width="10" customWidth="1"/>
    <col min="18" max="18" width="13" customWidth="1"/>
    <col min="19" max="19" width="14" customWidth="1"/>
    <col min="20" max="20" width="11" customWidth="1"/>
    <col min="21" max="22" width="12" customWidth="1"/>
    <col min="23" max="23" width="7" customWidth="1"/>
    <col min="24" max="24" width="16" customWidth="1"/>
  </cols>
  <sheetData>
    <row r="1" spans="1:24" ht="18" x14ac:dyDescent="0.35">
      <c r="A1" s="1" t="s">
        <v>83</v>
      </c>
    </row>
    <row r="2" spans="1:24" x14ac:dyDescent="0.3">
      <c r="A2" s="2" t="s">
        <v>1</v>
      </c>
    </row>
    <row r="4" spans="1:24" x14ac:dyDescent="0.3">
      <c r="A4" s="5" t="s">
        <v>84</v>
      </c>
    </row>
    <row r="5" spans="1:24" ht="28.8" x14ac:dyDescent="0.3">
      <c r="A5" s="6" t="s">
        <v>85</v>
      </c>
      <c r="B5" s="6" t="s">
        <v>86</v>
      </c>
      <c r="C5" s="6" t="s">
        <v>87</v>
      </c>
      <c r="D5" s="6" t="s">
        <v>88</v>
      </c>
      <c r="E5" s="6" t="s">
        <v>89</v>
      </c>
    </row>
    <row r="6" spans="1:24" x14ac:dyDescent="0.3">
      <c r="A6" s="9" t="s">
        <v>90</v>
      </c>
      <c r="B6" s="9">
        <f>COUNTIF($S$17:$S$56,A6)</f>
        <v>12</v>
      </c>
      <c r="C6" s="12">
        <f>B6/$B$9</f>
        <v>0.3</v>
      </c>
      <c r="D6" s="13">
        <f>SUMIF($S$17:$S$56,A6,$R$17:$R$56)</f>
        <v>83091.490000000005</v>
      </c>
      <c r="E6" s="12">
        <f>D6/$D$9</f>
        <v>7.1274962259001609E-2</v>
      </c>
    </row>
    <row r="7" spans="1:24" x14ac:dyDescent="0.3">
      <c r="A7" s="9" t="s">
        <v>91</v>
      </c>
      <c r="B7" s="9">
        <f>COUNTIF($S$17:$S$56,A7)</f>
        <v>16</v>
      </c>
      <c r="C7" s="12">
        <f>B7/$B$9</f>
        <v>0.4</v>
      </c>
      <c r="D7" s="13">
        <f>SUMIF($S$17:$S$56,A7,$R$17:$R$56)</f>
        <v>361702.22000000009</v>
      </c>
      <c r="E7" s="12">
        <f>D7/$D$9</f>
        <v>0.31026416880353336</v>
      </c>
    </row>
    <row r="8" spans="1:24" x14ac:dyDescent="0.3">
      <c r="A8" s="9" t="s">
        <v>92</v>
      </c>
      <c r="B8" s="9">
        <f>COUNTIF($S$17:$S$56,A8)</f>
        <v>12</v>
      </c>
      <c r="C8" s="12">
        <f>B8/$B$9</f>
        <v>0.3</v>
      </c>
      <c r="D8" s="13">
        <f>SUMIF($S$17:$S$56,A8,$R$17:$R$56)</f>
        <v>720994.21000000008</v>
      </c>
      <c r="E8" s="12">
        <f>D8/$D$9</f>
        <v>0.61846086893746499</v>
      </c>
    </row>
    <row r="9" spans="1:24" x14ac:dyDescent="0.3">
      <c r="A9" s="14" t="s">
        <v>93</v>
      </c>
      <c r="B9" s="14">
        <f>SUM(B6:B8)</f>
        <v>40</v>
      </c>
      <c r="C9" s="15">
        <f>SUM(C6:C8)</f>
        <v>1</v>
      </c>
      <c r="D9" s="16">
        <f>SUM(D6:D8)</f>
        <v>1165787.9200000002</v>
      </c>
      <c r="E9" s="15">
        <f>SUM(E6:E8)</f>
        <v>1</v>
      </c>
    </row>
    <row r="10" spans="1:24" x14ac:dyDescent="0.3">
      <c r="A10" t="s">
        <v>94</v>
      </c>
      <c r="D10" s="13">
        <f>SUMIF($S$17:$S$56,"Stockout risk",$U$17:$U$56)</f>
        <v>123207.97963680363</v>
      </c>
    </row>
    <row r="11" spans="1:24" x14ac:dyDescent="0.3">
      <c r="A11" t="s">
        <v>95</v>
      </c>
      <c r="D11" s="13">
        <f>SUMIF($S$17:$S$56,"Overstock",$U$17:$U$56)</f>
        <v>357768.13428571424</v>
      </c>
    </row>
    <row r="12" spans="1:24" x14ac:dyDescent="0.3">
      <c r="A12" t="s">
        <v>96</v>
      </c>
      <c r="D12" s="12">
        <f>AVERAGE($T$17:$T$56)</f>
        <v>0.76602109543970298</v>
      </c>
    </row>
    <row r="13" spans="1:24" x14ac:dyDescent="0.3">
      <c r="A13" t="s">
        <v>97</v>
      </c>
      <c r="D13" s="17">
        <f>MEDIAN($Q$17:$Q$56)</f>
        <v>60.205944359957371</v>
      </c>
    </row>
    <row r="14" spans="1:24" x14ac:dyDescent="0.3">
      <c r="A14" t="s">
        <v>98</v>
      </c>
      <c r="D14" s="18">
        <f>COUNTIF($X$17:$X$56,"High variability")</f>
        <v>12</v>
      </c>
    </row>
    <row r="16" spans="1:24" ht="45" customHeight="1" x14ac:dyDescent="0.3">
      <c r="A16" s="6" t="s">
        <v>35</v>
      </c>
      <c r="B16" s="6" t="s">
        <v>99</v>
      </c>
      <c r="C16" s="6" t="s">
        <v>100</v>
      </c>
      <c r="D16" s="6" t="s">
        <v>101</v>
      </c>
      <c r="E16" s="6" t="s">
        <v>102</v>
      </c>
      <c r="F16" s="6" t="s">
        <v>103</v>
      </c>
      <c r="G16" s="6" t="s">
        <v>104</v>
      </c>
      <c r="H16" s="6" t="s">
        <v>105</v>
      </c>
      <c r="I16" s="6" t="s">
        <v>106</v>
      </c>
      <c r="J16" s="6" t="s">
        <v>107</v>
      </c>
      <c r="K16" s="6" t="s">
        <v>108</v>
      </c>
      <c r="L16" s="6" t="s">
        <v>109</v>
      </c>
      <c r="M16" s="6" t="s">
        <v>110</v>
      </c>
      <c r="N16" s="6" t="s">
        <v>111</v>
      </c>
      <c r="O16" s="6" t="s">
        <v>112</v>
      </c>
      <c r="P16" s="6" t="s">
        <v>113</v>
      </c>
      <c r="Q16" s="6" t="s">
        <v>114</v>
      </c>
      <c r="R16" s="6" t="s">
        <v>88</v>
      </c>
      <c r="S16" s="6" t="s">
        <v>85</v>
      </c>
      <c r="T16" s="6" t="s">
        <v>14</v>
      </c>
      <c r="U16" s="6" t="s">
        <v>115</v>
      </c>
      <c r="V16" s="6" t="s">
        <v>116</v>
      </c>
      <c r="W16" s="6" t="s">
        <v>117</v>
      </c>
      <c r="X16" s="6" t="s">
        <v>118</v>
      </c>
    </row>
    <row r="17" spans="1:24" x14ac:dyDescent="0.3">
      <c r="A17" s="9" t="str">
        <f>Inputs!A12</f>
        <v>SKU-001</v>
      </c>
      <c r="B17" s="9" t="str">
        <f>Inputs!B12</f>
        <v>A</v>
      </c>
      <c r="C17" s="19">
        <f>Inputs!C12</f>
        <v>509.6</v>
      </c>
      <c r="D17" s="19">
        <f>Inputs!D12</f>
        <v>142.9</v>
      </c>
      <c r="E17" s="20">
        <f>Inputs!E12</f>
        <v>32.36</v>
      </c>
      <c r="F17" s="12">
        <f>Inputs!J12</f>
        <v>0.98</v>
      </c>
      <c r="G17" s="21">
        <f t="shared" ref="G17:G56" si="0">_xlfn.NORM.S.INV(F17)</f>
        <v>2.0537489106318221</v>
      </c>
      <c r="H17" s="22">
        <f>Inputs!H12/Inputs!$B$5</f>
        <v>4.5714285714285712</v>
      </c>
      <c r="I17" s="22">
        <f>Inputs!K12</f>
        <v>1</v>
      </c>
      <c r="J17" s="22">
        <f>Inputs!I12/Inputs!$B$5</f>
        <v>0.65714285714285714</v>
      </c>
      <c r="K17" s="19">
        <f t="shared" ref="K17:K56" si="1">SQRT((H17+I17)*D17^2+C17^2*J17^2)</f>
        <v>475.30565966994936</v>
      </c>
      <c r="L17" s="19">
        <f t="shared" ref="L17:L56" si="2">G17*K17</f>
        <v>976.15848076429802</v>
      </c>
      <c r="M17" s="13">
        <f t="shared" ref="M17:M56" si="3">C17*(H17+I17)+L17</f>
        <v>3815.3584807642978</v>
      </c>
      <c r="N17" s="13">
        <f>Inputs!F12</f>
        <v>12672</v>
      </c>
      <c r="O17" s="13">
        <f>Inputs!G12</f>
        <v>787</v>
      </c>
      <c r="P17" s="13">
        <f t="shared" ref="P17:P56" si="4">N17+O17</f>
        <v>13459</v>
      </c>
      <c r="Q17" s="19">
        <f>N17/(C17/Inputs!$B$5)</f>
        <v>174.06593406593407</v>
      </c>
      <c r="R17" s="13">
        <f t="shared" ref="R17:R56" si="5">N17*E17</f>
        <v>410065.91999999998</v>
      </c>
      <c r="S17" s="9" t="str">
        <f>IF(P17&lt;M17,"Stockout risk",IF(Q17&gt;Inputs!$B$6,"Overstock","Healthy"))</f>
        <v>Overstock</v>
      </c>
      <c r="T17" s="12">
        <f t="shared" ref="T17:T56" si="6">_xlfn.NORM.S.DIST((P17-C17*(H17+I17))/K17,TRUE)</f>
        <v>1</v>
      </c>
      <c r="U17" s="13">
        <f>IF(S17="Stockout risk",(M17-P17)*E17,IF(S17="Overstock",MAX(0,N17-Inputs!$B$6*C17/Inputs!$B$5)*E17,0))</f>
        <v>198043.19999999998</v>
      </c>
      <c r="V17" s="13">
        <f t="shared" ref="V17:V56" si="7">U17-ROW()*0.000000001</f>
        <v>198043.19999998299</v>
      </c>
      <c r="W17" s="9">
        <f t="shared" ref="W17:W56" si="8">RANK(V17,$V$17:$V$56)</f>
        <v>1</v>
      </c>
      <c r="X17" s="9" t="str">
        <f>IF(D17/C17&gt;Inputs!$B$7,"High variability","")</f>
        <v/>
      </c>
    </row>
    <row r="18" spans="1:24" x14ac:dyDescent="0.3">
      <c r="A18" s="9" t="str">
        <f>Inputs!A13</f>
        <v>SKU-002</v>
      </c>
      <c r="B18" s="9" t="str">
        <f>Inputs!B13</f>
        <v>A</v>
      </c>
      <c r="C18" s="19">
        <f>Inputs!C13</f>
        <v>225.5</v>
      </c>
      <c r="D18" s="19">
        <f>Inputs!D13</f>
        <v>66.400000000000006</v>
      </c>
      <c r="E18" s="20">
        <f>Inputs!E13</f>
        <v>36.58</v>
      </c>
      <c r="F18" s="12">
        <f>Inputs!J13</f>
        <v>0.98</v>
      </c>
      <c r="G18" s="21">
        <f t="shared" si="0"/>
        <v>2.0537489106318221</v>
      </c>
      <c r="H18" s="22">
        <f>Inputs!H13/Inputs!$B$5</f>
        <v>3.2857142857142856</v>
      </c>
      <c r="I18" s="22">
        <f>Inputs!K13</f>
        <v>1</v>
      </c>
      <c r="J18" s="22">
        <f>Inputs!I13/Inputs!$B$5</f>
        <v>0.54285714285714282</v>
      </c>
      <c r="K18" s="19">
        <f t="shared" si="1"/>
        <v>184.06737952196102</v>
      </c>
      <c r="L18" s="19">
        <f t="shared" si="2"/>
        <v>378.02818017608161</v>
      </c>
      <c r="M18" s="13">
        <f t="shared" si="3"/>
        <v>1344.4567516046532</v>
      </c>
      <c r="N18" s="13">
        <f>Inputs!F13</f>
        <v>212</v>
      </c>
      <c r="O18" s="13">
        <f>Inputs!G13</f>
        <v>0</v>
      </c>
      <c r="P18" s="13">
        <f t="shared" si="4"/>
        <v>212</v>
      </c>
      <c r="Q18" s="19">
        <f>N18/(C18/Inputs!$B$5)</f>
        <v>6.5809312638580932</v>
      </c>
      <c r="R18" s="13">
        <f t="shared" si="5"/>
        <v>7754.96</v>
      </c>
      <c r="S18" s="9" t="str">
        <f>IF(P18&lt;M18,"Stockout risk",IF(Q18&gt;Inputs!$B$6,"Overstock","Healthy"))</f>
        <v>Stockout risk</v>
      </c>
      <c r="T18" s="12">
        <f t="shared" si="6"/>
        <v>2.0777951023466214E-5</v>
      </c>
      <c r="U18" s="13">
        <f>IF(S18="Stockout risk",(M18-P18)*E18,IF(S18="Overstock",MAX(0,N18-Inputs!$B$6*C18/Inputs!$B$5)*E18,0))</f>
        <v>41425.26797369821</v>
      </c>
      <c r="V18" s="13">
        <f t="shared" si="7"/>
        <v>41425.267973680209</v>
      </c>
      <c r="W18" s="9">
        <f t="shared" si="8"/>
        <v>4</v>
      </c>
      <c r="X18" s="9" t="str">
        <f>IF(D18/C18&gt;Inputs!$B$7,"High variability","")</f>
        <v/>
      </c>
    </row>
    <row r="19" spans="1:24" x14ac:dyDescent="0.3">
      <c r="A19" s="9" t="str">
        <f>Inputs!A14</f>
        <v>SKU-003</v>
      </c>
      <c r="B19" s="9" t="str">
        <f>Inputs!B14</f>
        <v>A</v>
      </c>
      <c r="C19" s="19">
        <f>Inputs!C14</f>
        <v>330.3</v>
      </c>
      <c r="D19" s="19">
        <f>Inputs!D14</f>
        <v>54</v>
      </c>
      <c r="E19" s="20">
        <f>Inputs!E14</f>
        <v>15.26</v>
      </c>
      <c r="F19" s="12">
        <f>Inputs!J14</f>
        <v>0.98</v>
      </c>
      <c r="G19" s="21">
        <f t="shared" si="0"/>
        <v>2.0537489106318221</v>
      </c>
      <c r="H19" s="22">
        <f>Inputs!H14/Inputs!$B$5</f>
        <v>2.4285714285714284</v>
      </c>
      <c r="I19" s="22">
        <f>Inputs!K14</f>
        <v>1</v>
      </c>
      <c r="J19" s="22">
        <f>Inputs!I14/Inputs!$B$5</f>
        <v>0.54285714285714282</v>
      </c>
      <c r="K19" s="19">
        <f t="shared" si="1"/>
        <v>205.30039810293718</v>
      </c>
      <c r="L19" s="19">
        <f t="shared" si="2"/>
        <v>421.63546895618663</v>
      </c>
      <c r="M19" s="13">
        <f t="shared" si="3"/>
        <v>1554.0926118133293</v>
      </c>
      <c r="N19" s="13">
        <f>Inputs!F14</f>
        <v>2248</v>
      </c>
      <c r="O19" s="13">
        <f>Inputs!G14</f>
        <v>386</v>
      </c>
      <c r="P19" s="13">
        <f t="shared" si="4"/>
        <v>2634</v>
      </c>
      <c r="Q19" s="19">
        <f>N19/(C19/Inputs!$B$5)</f>
        <v>47.641537995761425</v>
      </c>
      <c r="R19" s="13">
        <f t="shared" si="5"/>
        <v>34304.479999999996</v>
      </c>
      <c r="S19" s="9" t="str">
        <f>IF(P19&lt;M19,"Stockout risk",IF(Q19&gt;Inputs!$B$6,"Overstock","Healthy"))</f>
        <v>Healthy</v>
      </c>
      <c r="T19" s="12">
        <f t="shared" si="6"/>
        <v>0.99999999999987021</v>
      </c>
      <c r="U19" s="13">
        <f>IF(S19="Stockout risk",(M19-P19)*E19,IF(S19="Overstock",MAX(0,N19-Inputs!$B$6*C19/Inputs!$B$5)*E19,0))</f>
        <v>0</v>
      </c>
      <c r="V19" s="13">
        <f t="shared" si="7"/>
        <v>-1.9000000000000001E-8</v>
      </c>
      <c r="W19" s="9">
        <f t="shared" si="8"/>
        <v>25</v>
      </c>
      <c r="X19" s="9" t="str">
        <f>IF(D19/C19&gt;Inputs!$B$7,"High variability","")</f>
        <v/>
      </c>
    </row>
    <row r="20" spans="1:24" x14ac:dyDescent="0.3">
      <c r="A20" s="9" t="str">
        <f>Inputs!A15</f>
        <v>SKU-004</v>
      </c>
      <c r="B20" s="9" t="str">
        <f>Inputs!B15</f>
        <v>A</v>
      </c>
      <c r="C20" s="19">
        <f>Inputs!C15</f>
        <v>255.9</v>
      </c>
      <c r="D20" s="19">
        <f>Inputs!D15</f>
        <v>77</v>
      </c>
      <c r="E20" s="20">
        <f>Inputs!E15</f>
        <v>32.979999999999997</v>
      </c>
      <c r="F20" s="12">
        <f>Inputs!J15</f>
        <v>0.98</v>
      </c>
      <c r="G20" s="21">
        <f t="shared" si="0"/>
        <v>2.0537489106318221</v>
      </c>
      <c r="H20" s="22">
        <f>Inputs!H15/Inputs!$B$5</f>
        <v>4.5714285714285712</v>
      </c>
      <c r="I20" s="22">
        <f>Inputs!K15</f>
        <v>1</v>
      </c>
      <c r="J20" s="22">
        <f>Inputs!I15/Inputs!$B$5</f>
        <v>0.38571428571428573</v>
      </c>
      <c r="K20" s="19">
        <f t="shared" si="1"/>
        <v>206.82247464520714</v>
      </c>
      <c r="L20" s="19">
        <f t="shared" si="2"/>
        <v>424.76143199677182</v>
      </c>
      <c r="M20" s="13">
        <f t="shared" si="3"/>
        <v>1850.490003425343</v>
      </c>
      <c r="N20" s="13">
        <f>Inputs!F15</f>
        <v>643</v>
      </c>
      <c r="O20" s="13">
        <f>Inputs!G15</f>
        <v>0</v>
      </c>
      <c r="P20" s="13">
        <f t="shared" si="4"/>
        <v>643</v>
      </c>
      <c r="Q20" s="19">
        <f>N20/(C20/Inputs!$B$5)</f>
        <v>17.588901914810474</v>
      </c>
      <c r="R20" s="13">
        <f t="shared" si="5"/>
        <v>21206.14</v>
      </c>
      <c r="S20" s="9" t="str">
        <f>IF(P20&lt;M20,"Stockout risk",IF(Q20&gt;Inputs!$B$6,"Overstock","Healthy"))</f>
        <v>Stockout risk</v>
      </c>
      <c r="T20" s="12">
        <f t="shared" si="6"/>
        <v>7.6995607076969184E-5</v>
      </c>
      <c r="U20" s="13">
        <f>IF(S20="Stockout risk",(M20-P20)*E20,IF(S20="Overstock",MAX(0,N20-Inputs!$B$6*C20/Inputs!$B$5)*E20,0))</f>
        <v>39823.020312967812</v>
      </c>
      <c r="V20" s="13">
        <f t="shared" si="7"/>
        <v>39823.02031294781</v>
      </c>
      <c r="W20" s="9">
        <f t="shared" si="8"/>
        <v>5</v>
      </c>
      <c r="X20" s="9" t="str">
        <f>IF(D20/C20&gt;Inputs!$B$7,"High variability","")</f>
        <v/>
      </c>
    </row>
    <row r="21" spans="1:24" x14ac:dyDescent="0.3">
      <c r="A21" s="9" t="str">
        <f>Inputs!A16</f>
        <v>SKU-005</v>
      </c>
      <c r="B21" s="9" t="str">
        <f>Inputs!B16</f>
        <v>A</v>
      </c>
      <c r="C21" s="19">
        <f>Inputs!C16</f>
        <v>453.9</v>
      </c>
      <c r="D21" s="19">
        <f>Inputs!D16</f>
        <v>86.2</v>
      </c>
      <c r="E21" s="20">
        <f>Inputs!E16</f>
        <v>14.87</v>
      </c>
      <c r="F21" s="12">
        <f>Inputs!J16</f>
        <v>0.98</v>
      </c>
      <c r="G21" s="21">
        <f t="shared" si="0"/>
        <v>2.0537489106318221</v>
      </c>
      <c r="H21" s="22">
        <f>Inputs!H16/Inputs!$B$5</f>
        <v>2</v>
      </c>
      <c r="I21" s="22">
        <f>Inputs!K16</f>
        <v>1</v>
      </c>
      <c r="J21" s="22">
        <f>Inputs!I16/Inputs!$B$5</f>
        <v>0.12857142857142859</v>
      </c>
      <c r="K21" s="19">
        <f t="shared" si="1"/>
        <v>160.30297208468619</v>
      </c>
      <c r="L21" s="19">
        <f t="shared" si="2"/>
        <v>329.22205428996767</v>
      </c>
      <c r="M21" s="13">
        <f t="shared" si="3"/>
        <v>1690.9220542899675</v>
      </c>
      <c r="N21" s="13">
        <f>Inputs!F16</f>
        <v>2489</v>
      </c>
      <c r="O21" s="13">
        <f>Inputs!G16</f>
        <v>0</v>
      </c>
      <c r="P21" s="13">
        <f t="shared" si="4"/>
        <v>2489</v>
      </c>
      <c r="Q21" s="19">
        <f>N21/(C21/Inputs!$B$5)</f>
        <v>38.385106851729454</v>
      </c>
      <c r="R21" s="13">
        <f t="shared" si="5"/>
        <v>37011.43</v>
      </c>
      <c r="S21" s="9" t="str">
        <f>IF(P21&lt;M21,"Stockout risk",IF(Q21&gt;Inputs!$B$6,"Overstock","Healthy"))</f>
        <v>Healthy</v>
      </c>
      <c r="T21" s="12">
        <f t="shared" si="6"/>
        <v>0.99999999999898426</v>
      </c>
      <c r="U21" s="13">
        <f>IF(S21="Stockout risk",(M21-P21)*E21,IF(S21="Overstock",MAX(0,N21-Inputs!$B$6*C21/Inputs!$B$5)*E21,0))</f>
        <v>0</v>
      </c>
      <c r="V21" s="13">
        <f t="shared" si="7"/>
        <v>-2.1000000000000003E-8</v>
      </c>
      <c r="W21" s="9">
        <f t="shared" si="8"/>
        <v>26</v>
      </c>
      <c r="X21" s="9" t="str">
        <f>IF(D21/C21&gt;Inputs!$B$7,"High variability","")</f>
        <v/>
      </c>
    </row>
    <row r="22" spans="1:24" x14ac:dyDescent="0.3">
      <c r="A22" s="9" t="str">
        <f>Inputs!A17</f>
        <v>SKU-006</v>
      </c>
      <c r="B22" s="9" t="str">
        <f>Inputs!B17</f>
        <v>A</v>
      </c>
      <c r="C22" s="19">
        <f>Inputs!C17</f>
        <v>465.7</v>
      </c>
      <c r="D22" s="19">
        <f>Inputs!D17</f>
        <v>73.8</v>
      </c>
      <c r="E22" s="20">
        <f>Inputs!E17</f>
        <v>31.12</v>
      </c>
      <c r="F22" s="12">
        <f>Inputs!J17</f>
        <v>0.98</v>
      </c>
      <c r="G22" s="21">
        <f t="shared" si="0"/>
        <v>2.0537489106318221</v>
      </c>
      <c r="H22" s="22">
        <f>Inputs!H17/Inputs!$B$5</f>
        <v>2.7142857142857144</v>
      </c>
      <c r="I22" s="22">
        <f>Inputs!K17</f>
        <v>1</v>
      </c>
      <c r="J22" s="22">
        <f>Inputs!I17/Inputs!$B$5</f>
        <v>0.47142857142857142</v>
      </c>
      <c r="K22" s="19">
        <f t="shared" si="1"/>
        <v>261.58999918863526</v>
      </c>
      <c r="L22" s="19">
        <f t="shared" si="2"/>
        <v>537.24017586583886</v>
      </c>
      <c r="M22" s="13">
        <f t="shared" si="3"/>
        <v>2266.9830330086961</v>
      </c>
      <c r="N22" s="13">
        <f>Inputs!F17</f>
        <v>802</v>
      </c>
      <c r="O22" s="13">
        <f>Inputs!G17</f>
        <v>545</v>
      </c>
      <c r="P22" s="13">
        <f t="shared" si="4"/>
        <v>1347</v>
      </c>
      <c r="Q22" s="19">
        <f>N22/(C22/Inputs!$B$5)</f>
        <v>12.054971011380719</v>
      </c>
      <c r="R22" s="13">
        <f t="shared" si="5"/>
        <v>24958.240000000002</v>
      </c>
      <c r="S22" s="9" t="str">
        <f>IF(P22&lt;M22,"Stockout risk",IF(Q22&gt;Inputs!$B$6,"Overstock","Healthy"))</f>
        <v>Stockout risk</v>
      </c>
      <c r="T22" s="12">
        <f t="shared" si="6"/>
        <v>7.1714502915430911E-2</v>
      </c>
      <c r="U22" s="13">
        <f>IF(S22="Stockout risk",(M22-P22)*E22,IF(S22="Overstock",MAX(0,N22-Inputs!$B$6*C22/Inputs!$B$5)*E22,0))</f>
        <v>28629.871987230625</v>
      </c>
      <c r="V22" s="13">
        <f t="shared" si="7"/>
        <v>28629.871987208626</v>
      </c>
      <c r="W22" s="9">
        <f t="shared" si="8"/>
        <v>6</v>
      </c>
      <c r="X22" s="9" t="str">
        <f>IF(D22/C22&gt;Inputs!$B$7,"High variability","")</f>
        <v/>
      </c>
    </row>
    <row r="23" spans="1:24" x14ac:dyDescent="0.3">
      <c r="A23" s="9" t="str">
        <f>Inputs!A18</f>
        <v>SKU-007</v>
      </c>
      <c r="B23" s="9" t="str">
        <f>Inputs!B18</f>
        <v>A</v>
      </c>
      <c r="C23" s="19">
        <f>Inputs!C18</f>
        <v>344.7</v>
      </c>
      <c r="D23" s="19">
        <f>Inputs!D18</f>
        <v>117.6</v>
      </c>
      <c r="E23" s="20">
        <f>Inputs!E18</f>
        <v>16.510000000000002</v>
      </c>
      <c r="F23" s="12">
        <f>Inputs!J18</f>
        <v>0.98</v>
      </c>
      <c r="G23" s="21">
        <f t="shared" si="0"/>
        <v>2.0537489106318221</v>
      </c>
      <c r="H23" s="22">
        <f>Inputs!H18/Inputs!$B$5</f>
        <v>2.7142857142857144</v>
      </c>
      <c r="I23" s="22">
        <f>Inputs!K18</f>
        <v>1</v>
      </c>
      <c r="J23" s="22">
        <f>Inputs!I18/Inputs!$B$5</f>
        <v>0.44285714285714289</v>
      </c>
      <c r="K23" s="19">
        <f t="shared" si="1"/>
        <v>273.25917147257388</v>
      </c>
      <c r="L23" s="19">
        <f t="shared" si="2"/>
        <v>561.20572573195284</v>
      </c>
      <c r="M23" s="13">
        <f t="shared" si="3"/>
        <v>1841.5200114462386</v>
      </c>
      <c r="N23" s="13">
        <f>Inputs!F18</f>
        <v>2680</v>
      </c>
      <c r="O23" s="13">
        <f>Inputs!G18</f>
        <v>196</v>
      </c>
      <c r="P23" s="13">
        <f t="shared" si="4"/>
        <v>2876</v>
      </c>
      <c r="Q23" s="19">
        <f>N23/(C23/Inputs!$B$5)</f>
        <v>54.424136930664346</v>
      </c>
      <c r="R23" s="13">
        <f t="shared" si="5"/>
        <v>44246.8</v>
      </c>
      <c r="S23" s="9" t="str">
        <f>IF(P23&lt;M23,"Stockout risk",IF(Q23&gt;Inputs!$B$6,"Overstock","Healthy"))</f>
        <v>Healthy</v>
      </c>
      <c r="T23" s="12">
        <f t="shared" si="6"/>
        <v>0.99999999738146905</v>
      </c>
      <c r="U23" s="13">
        <f>IF(S23="Stockout risk",(M23-P23)*E23,IF(S23="Overstock",MAX(0,N23-Inputs!$B$6*C23/Inputs!$B$5)*E23,0))</f>
        <v>0</v>
      </c>
      <c r="V23" s="13">
        <f t="shared" si="7"/>
        <v>-2.3000000000000001E-8</v>
      </c>
      <c r="W23" s="9">
        <f t="shared" si="8"/>
        <v>27</v>
      </c>
      <c r="X23" s="9" t="str">
        <f>IF(D23/C23&gt;Inputs!$B$7,"High variability","")</f>
        <v/>
      </c>
    </row>
    <row r="24" spans="1:24" x14ac:dyDescent="0.3">
      <c r="A24" s="9" t="str">
        <f>Inputs!A19</f>
        <v>SKU-008</v>
      </c>
      <c r="B24" s="9" t="str">
        <f>Inputs!B19</f>
        <v>A</v>
      </c>
      <c r="C24" s="19">
        <f>Inputs!C19</f>
        <v>431.7</v>
      </c>
      <c r="D24" s="19">
        <f>Inputs!D19</f>
        <v>127.1</v>
      </c>
      <c r="E24" s="20">
        <f>Inputs!E19</f>
        <v>28.07</v>
      </c>
      <c r="F24" s="12">
        <f>Inputs!J19</f>
        <v>0.98</v>
      </c>
      <c r="G24" s="21">
        <f t="shared" si="0"/>
        <v>2.0537489106318221</v>
      </c>
      <c r="H24" s="22">
        <f>Inputs!H19/Inputs!$B$5</f>
        <v>4.1428571428571432</v>
      </c>
      <c r="I24" s="22">
        <f>Inputs!K19</f>
        <v>1</v>
      </c>
      <c r="J24" s="22">
        <f>Inputs!I19/Inputs!$B$5</f>
        <v>0.3</v>
      </c>
      <c r="K24" s="19">
        <f t="shared" si="1"/>
        <v>315.99471982478258</v>
      </c>
      <c r="L24" s="19">
        <f t="shared" si="2"/>
        <v>648.97381160555506</v>
      </c>
      <c r="M24" s="13">
        <f t="shared" si="3"/>
        <v>2869.1452401769839</v>
      </c>
      <c r="N24" s="13">
        <f>Inputs!F19</f>
        <v>3649</v>
      </c>
      <c r="O24" s="13">
        <f>Inputs!G19</f>
        <v>115</v>
      </c>
      <c r="P24" s="13">
        <f t="shared" si="4"/>
        <v>3764</v>
      </c>
      <c r="Q24" s="19">
        <f>N24/(C24/Inputs!$B$5)</f>
        <v>59.168403984248322</v>
      </c>
      <c r="R24" s="13">
        <f t="shared" si="5"/>
        <v>102427.43000000001</v>
      </c>
      <c r="S24" s="9" t="str">
        <f>IF(P24&lt;M24,"Stockout risk",IF(Q24&gt;Inputs!$B$6,"Overstock","Healthy"))</f>
        <v>Healthy</v>
      </c>
      <c r="T24" s="12">
        <f t="shared" si="6"/>
        <v>0.99999948446772224</v>
      </c>
      <c r="U24" s="13">
        <f>IF(S24="Stockout risk",(M24-P24)*E24,IF(S24="Overstock",MAX(0,N24-Inputs!$B$6*C24/Inputs!$B$5)*E24,0))</f>
        <v>0</v>
      </c>
      <c r="V24" s="13">
        <f t="shared" si="7"/>
        <v>-2.4000000000000003E-8</v>
      </c>
      <c r="W24" s="9">
        <f t="shared" si="8"/>
        <v>28</v>
      </c>
      <c r="X24" s="9" t="str">
        <f>IF(D24/C24&gt;Inputs!$B$7,"High variability","")</f>
        <v/>
      </c>
    </row>
    <row r="25" spans="1:24" x14ac:dyDescent="0.3">
      <c r="A25" s="9" t="str">
        <f>Inputs!A20</f>
        <v>SKU-009</v>
      </c>
      <c r="B25" s="9" t="str">
        <f>Inputs!B20</f>
        <v>B</v>
      </c>
      <c r="C25" s="19">
        <f>Inputs!C20</f>
        <v>83.9</v>
      </c>
      <c r="D25" s="19">
        <f>Inputs!D20</f>
        <v>24.1</v>
      </c>
      <c r="E25" s="20">
        <f>Inputs!E20</f>
        <v>28.96</v>
      </c>
      <c r="F25" s="12">
        <f>Inputs!J20</f>
        <v>0.95</v>
      </c>
      <c r="G25" s="21">
        <f t="shared" si="0"/>
        <v>1.6448536269514715</v>
      </c>
      <c r="H25" s="22">
        <f>Inputs!H20/Inputs!$B$5</f>
        <v>3.7142857142857144</v>
      </c>
      <c r="I25" s="22">
        <f>Inputs!K20</f>
        <v>1</v>
      </c>
      <c r="J25" s="22">
        <f>Inputs!I20/Inputs!$B$5</f>
        <v>0.25714285714285717</v>
      </c>
      <c r="K25" s="19">
        <f t="shared" si="1"/>
        <v>56.599947789692521</v>
      </c>
      <c r="L25" s="19">
        <f t="shared" si="2"/>
        <v>93.098629407139669</v>
      </c>
      <c r="M25" s="13">
        <f t="shared" si="3"/>
        <v>488.62720083571116</v>
      </c>
      <c r="N25" s="13">
        <f>Inputs!F20</f>
        <v>843</v>
      </c>
      <c r="O25" s="13">
        <f>Inputs!G20</f>
        <v>53</v>
      </c>
      <c r="P25" s="13">
        <f t="shared" si="4"/>
        <v>896</v>
      </c>
      <c r="Q25" s="19">
        <f>N25/(C25/Inputs!$B$5)</f>
        <v>70.333730631704412</v>
      </c>
      <c r="R25" s="13">
        <f t="shared" si="5"/>
        <v>24413.280000000002</v>
      </c>
      <c r="S25" s="9" t="str">
        <f>IF(P25&lt;M25,"Stockout risk",IF(Q25&gt;Inputs!$B$6,"Overstock","Healthy"))</f>
        <v>Healthy</v>
      </c>
      <c r="T25" s="12">
        <f t="shared" si="6"/>
        <v>1</v>
      </c>
      <c r="U25" s="13">
        <f>IF(S25="Stockout risk",(M25-P25)*E25,IF(S25="Overstock",MAX(0,N25-Inputs!$B$6*C25/Inputs!$B$5)*E25,0))</f>
        <v>0</v>
      </c>
      <c r="V25" s="13">
        <f t="shared" si="7"/>
        <v>-2.5000000000000002E-8</v>
      </c>
      <c r="W25" s="9">
        <f t="shared" si="8"/>
        <v>29</v>
      </c>
      <c r="X25" s="9" t="str">
        <f>IF(D25/C25&gt;Inputs!$B$7,"High variability","")</f>
        <v/>
      </c>
    </row>
    <row r="26" spans="1:24" x14ac:dyDescent="0.3">
      <c r="A26" s="9" t="str">
        <f>Inputs!A21</f>
        <v>SKU-010</v>
      </c>
      <c r="B26" s="9" t="str">
        <f>Inputs!B21</f>
        <v>B</v>
      </c>
      <c r="C26" s="19">
        <f>Inputs!C21</f>
        <v>132.9</v>
      </c>
      <c r="D26" s="19">
        <f>Inputs!D21</f>
        <v>54</v>
      </c>
      <c r="E26" s="20">
        <f>Inputs!E21</f>
        <v>18.850000000000001</v>
      </c>
      <c r="F26" s="12">
        <f>Inputs!J21</f>
        <v>0.95</v>
      </c>
      <c r="G26" s="21">
        <f t="shared" si="0"/>
        <v>1.6448536269514715</v>
      </c>
      <c r="H26" s="22">
        <f>Inputs!H21/Inputs!$B$5</f>
        <v>5.4285714285714288</v>
      </c>
      <c r="I26" s="22">
        <f>Inputs!K21</f>
        <v>1</v>
      </c>
      <c r="J26" s="22">
        <f>Inputs!I21/Inputs!$B$5</f>
        <v>1.1857142857142857</v>
      </c>
      <c r="K26" s="19">
        <f t="shared" si="1"/>
        <v>208.75253511353228</v>
      </c>
      <c r="L26" s="19">
        <f t="shared" si="2"/>
        <v>343.36736451680798</v>
      </c>
      <c r="M26" s="13">
        <f t="shared" si="3"/>
        <v>1197.7245073739509</v>
      </c>
      <c r="N26" s="13">
        <f>Inputs!F21</f>
        <v>1623</v>
      </c>
      <c r="O26" s="13">
        <f>Inputs!G21</f>
        <v>391</v>
      </c>
      <c r="P26" s="13">
        <f t="shared" si="4"/>
        <v>2014</v>
      </c>
      <c r="Q26" s="19">
        <f>N26/(C26/Inputs!$B$5)</f>
        <v>85.485327313769744</v>
      </c>
      <c r="R26" s="13">
        <f t="shared" si="5"/>
        <v>30593.550000000003</v>
      </c>
      <c r="S26" s="9" t="str">
        <f>IF(P26&lt;M26,"Stockout risk",IF(Q26&gt;Inputs!$B$6,"Overstock","Healthy"))</f>
        <v>Healthy</v>
      </c>
      <c r="T26" s="12">
        <f t="shared" si="6"/>
        <v>0.99999998612798369</v>
      </c>
      <c r="U26" s="13">
        <f>IF(S26="Stockout risk",(M26-P26)*E26,IF(S26="Overstock",MAX(0,N26-Inputs!$B$6*C26/Inputs!$B$5)*E26,0))</f>
        <v>0</v>
      </c>
      <c r="V26" s="13">
        <f t="shared" si="7"/>
        <v>-2.6000000000000001E-8</v>
      </c>
      <c r="W26" s="9">
        <f t="shared" si="8"/>
        <v>30</v>
      </c>
      <c r="X26" s="9" t="str">
        <f>IF(D26/C26&gt;Inputs!$B$7,"High variability","")</f>
        <v/>
      </c>
    </row>
    <row r="27" spans="1:24" x14ac:dyDescent="0.3">
      <c r="A27" s="9" t="str">
        <f>Inputs!A22</f>
        <v>SKU-011</v>
      </c>
      <c r="B27" s="9" t="str">
        <f>Inputs!B22</f>
        <v>B</v>
      </c>
      <c r="C27" s="19">
        <f>Inputs!C22</f>
        <v>65.2</v>
      </c>
      <c r="D27" s="19">
        <f>Inputs!D22</f>
        <v>26.6</v>
      </c>
      <c r="E27" s="20">
        <f>Inputs!E22</f>
        <v>28.82</v>
      </c>
      <c r="F27" s="12">
        <f>Inputs!J22</f>
        <v>0.95</v>
      </c>
      <c r="G27" s="21">
        <f t="shared" si="0"/>
        <v>1.6448536269514715</v>
      </c>
      <c r="H27" s="22">
        <f>Inputs!H22/Inputs!$B$5</f>
        <v>4.5714285714285712</v>
      </c>
      <c r="I27" s="22">
        <f>Inputs!K22</f>
        <v>1</v>
      </c>
      <c r="J27" s="22">
        <f>Inputs!I22/Inputs!$B$5</f>
        <v>0.51428571428571435</v>
      </c>
      <c r="K27" s="19">
        <f t="shared" si="1"/>
        <v>71.179187281401411</v>
      </c>
      <c r="L27" s="19">
        <f t="shared" si="2"/>
        <v>117.07934436327116</v>
      </c>
      <c r="M27" s="13">
        <f t="shared" si="3"/>
        <v>480.33648722041403</v>
      </c>
      <c r="N27" s="13">
        <f>Inputs!F22</f>
        <v>1611</v>
      </c>
      <c r="O27" s="13">
        <f>Inputs!G22</f>
        <v>0</v>
      </c>
      <c r="P27" s="13">
        <f t="shared" si="4"/>
        <v>1611</v>
      </c>
      <c r="Q27" s="19">
        <f>N27/(C27/Inputs!$B$5)</f>
        <v>172.96012269938649</v>
      </c>
      <c r="R27" s="13">
        <f t="shared" si="5"/>
        <v>46429.020000000004</v>
      </c>
      <c r="S27" s="9" t="str">
        <f>IF(P27&lt;M27,"Stockout risk",IF(Q27&gt;Inputs!$B$6,"Overstock","Healthy"))</f>
        <v>Overstock</v>
      </c>
      <c r="T27" s="12">
        <f t="shared" si="6"/>
        <v>1</v>
      </c>
      <c r="U27" s="13">
        <f>IF(S27="Stockout risk",(M27-P27)*E27,IF(S27="Overstock",MAX(0,N27-Inputs!$B$6*C27/Inputs!$B$5)*E27,0))</f>
        <v>22269.625714285714</v>
      </c>
      <c r="V27" s="13">
        <f t="shared" si="7"/>
        <v>22269.625714258713</v>
      </c>
      <c r="W27" s="9">
        <f t="shared" si="8"/>
        <v>7</v>
      </c>
      <c r="X27" s="9" t="str">
        <f>IF(D27/C27&gt;Inputs!$B$7,"High variability","")</f>
        <v/>
      </c>
    </row>
    <row r="28" spans="1:24" x14ac:dyDescent="0.3">
      <c r="A28" s="9" t="str">
        <f>Inputs!A23</f>
        <v>SKU-012</v>
      </c>
      <c r="B28" s="9" t="str">
        <f>Inputs!B23</f>
        <v>B</v>
      </c>
      <c r="C28" s="19">
        <f>Inputs!C23</f>
        <v>164.8</v>
      </c>
      <c r="D28" s="19">
        <f>Inputs!D23</f>
        <v>54.3</v>
      </c>
      <c r="E28" s="20">
        <f>Inputs!E23</f>
        <v>21.54</v>
      </c>
      <c r="F28" s="12">
        <f>Inputs!J23</f>
        <v>0.95</v>
      </c>
      <c r="G28" s="21">
        <f t="shared" si="0"/>
        <v>1.6448536269514715</v>
      </c>
      <c r="H28" s="22">
        <f>Inputs!H23/Inputs!$B$5</f>
        <v>4</v>
      </c>
      <c r="I28" s="22">
        <f>Inputs!K23</f>
        <v>1</v>
      </c>
      <c r="J28" s="22">
        <f>Inputs!I23/Inputs!$B$5</f>
        <v>0.3</v>
      </c>
      <c r="K28" s="19">
        <f t="shared" si="1"/>
        <v>131.09829747178259</v>
      </c>
      <c r="L28" s="19">
        <f t="shared" si="2"/>
        <v>215.63751008362451</v>
      </c>
      <c r="M28" s="13">
        <f t="shared" si="3"/>
        <v>1039.6375100836244</v>
      </c>
      <c r="N28" s="13">
        <f>Inputs!F23</f>
        <v>1756</v>
      </c>
      <c r="O28" s="13">
        <f>Inputs!G23</f>
        <v>342</v>
      </c>
      <c r="P28" s="13">
        <f t="shared" si="4"/>
        <v>2098</v>
      </c>
      <c r="Q28" s="19">
        <f>N28/(C28/Inputs!$B$5)</f>
        <v>74.587378640776691</v>
      </c>
      <c r="R28" s="13">
        <f t="shared" si="5"/>
        <v>37824.239999999998</v>
      </c>
      <c r="S28" s="9" t="str">
        <f>IF(P28&lt;M28,"Stockout risk",IF(Q28&gt;Inputs!$B$6,"Overstock","Healthy"))</f>
        <v>Healthy</v>
      </c>
      <c r="T28" s="12">
        <f t="shared" si="6"/>
        <v>1</v>
      </c>
      <c r="U28" s="13">
        <f>IF(S28="Stockout risk",(M28-P28)*E28,IF(S28="Overstock",MAX(0,N28-Inputs!$B$6*C28/Inputs!$B$5)*E28,0))</f>
        <v>0</v>
      </c>
      <c r="V28" s="13">
        <f t="shared" si="7"/>
        <v>-2.8000000000000003E-8</v>
      </c>
      <c r="W28" s="9">
        <f t="shared" si="8"/>
        <v>31</v>
      </c>
      <c r="X28" s="9" t="str">
        <f>IF(D28/C28&gt;Inputs!$B$7,"High variability","")</f>
        <v/>
      </c>
    </row>
    <row r="29" spans="1:24" x14ac:dyDescent="0.3">
      <c r="A29" s="9" t="str">
        <f>Inputs!A24</f>
        <v>SKU-013</v>
      </c>
      <c r="B29" s="9" t="str">
        <f>Inputs!B24</f>
        <v>B</v>
      </c>
      <c r="C29" s="19">
        <f>Inputs!C24</f>
        <v>85.1</v>
      </c>
      <c r="D29" s="19">
        <f>Inputs!D24</f>
        <v>21.2</v>
      </c>
      <c r="E29" s="20">
        <f>Inputs!E24</f>
        <v>29.3</v>
      </c>
      <c r="F29" s="12">
        <f>Inputs!J24</f>
        <v>0.95</v>
      </c>
      <c r="G29" s="21">
        <f t="shared" si="0"/>
        <v>1.6448536269514715</v>
      </c>
      <c r="H29" s="22">
        <f>Inputs!H24/Inputs!$B$5</f>
        <v>3.5714285714285716</v>
      </c>
      <c r="I29" s="22">
        <f>Inputs!K24</f>
        <v>1</v>
      </c>
      <c r="J29" s="22">
        <f>Inputs!I24/Inputs!$B$5</f>
        <v>0.18571428571428572</v>
      </c>
      <c r="K29" s="19">
        <f t="shared" si="1"/>
        <v>48.003732189087472</v>
      </c>
      <c r="L29" s="19">
        <f t="shared" si="2"/>
        <v>78.959112998427628</v>
      </c>
      <c r="M29" s="13">
        <f t="shared" si="3"/>
        <v>467.98768442699895</v>
      </c>
      <c r="N29" s="13">
        <f>Inputs!F24</f>
        <v>718</v>
      </c>
      <c r="O29" s="13">
        <f>Inputs!G24</f>
        <v>0</v>
      </c>
      <c r="P29" s="13">
        <f t="shared" si="4"/>
        <v>718</v>
      </c>
      <c r="Q29" s="19">
        <f>N29/(C29/Inputs!$B$5)</f>
        <v>59.059929494712108</v>
      </c>
      <c r="R29" s="13">
        <f t="shared" si="5"/>
        <v>21037.4</v>
      </c>
      <c r="S29" s="9" t="str">
        <f>IF(P29&lt;M29,"Stockout risk",IF(Q29&gt;Inputs!$B$6,"Overstock","Healthy"))</f>
        <v>Healthy</v>
      </c>
      <c r="T29" s="12">
        <f t="shared" si="6"/>
        <v>0.99999999999638511</v>
      </c>
      <c r="U29" s="13">
        <f>IF(S29="Stockout risk",(M29-P29)*E29,IF(S29="Overstock",MAX(0,N29-Inputs!$B$6*C29/Inputs!$B$5)*E29,0))</f>
        <v>0</v>
      </c>
      <c r="V29" s="13">
        <f t="shared" si="7"/>
        <v>-2.9000000000000002E-8</v>
      </c>
      <c r="W29" s="9">
        <f t="shared" si="8"/>
        <v>32</v>
      </c>
      <c r="X29" s="9" t="str">
        <f>IF(D29/C29&gt;Inputs!$B$7,"High variability","")</f>
        <v/>
      </c>
    </row>
    <row r="30" spans="1:24" x14ac:dyDescent="0.3">
      <c r="A30" s="9" t="str">
        <f>Inputs!A25</f>
        <v>SKU-014</v>
      </c>
      <c r="B30" s="9" t="str">
        <f>Inputs!B25</f>
        <v>B</v>
      </c>
      <c r="C30" s="19">
        <f>Inputs!C25</f>
        <v>141.4</v>
      </c>
      <c r="D30" s="19">
        <f>Inputs!D25</f>
        <v>53.6</v>
      </c>
      <c r="E30" s="20">
        <f>Inputs!E25</f>
        <v>8.09</v>
      </c>
      <c r="F30" s="12">
        <f>Inputs!J25</f>
        <v>0.95</v>
      </c>
      <c r="G30" s="21">
        <f t="shared" si="0"/>
        <v>1.6448536269514715</v>
      </c>
      <c r="H30" s="22">
        <f>Inputs!H25/Inputs!$B$5</f>
        <v>2.1428571428571428</v>
      </c>
      <c r="I30" s="22">
        <f>Inputs!K25</f>
        <v>1</v>
      </c>
      <c r="J30" s="22">
        <f>Inputs!I25/Inputs!$B$5</f>
        <v>0.31428571428571433</v>
      </c>
      <c r="K30" s="19">
        <f t="shared" si="1"/>
        <v>104.90098406184214</v>
      </c>
      <c r="L30" s="19">
        <f t="shared" si="2"/>
        <v>172.54676410489955</v>
      </c>
      <c r="M30" s="13">
        <f t="shared" si="3"/>
        <v>616.94676410489956</v>
      </c>
      <c r="N30" s="13">
        <f>Inputs!F25</f>
        <v>813</v>
      </c>
      <c r="O30" s="13">
        <f>Inputs!G25</f>
        <v>205</v>
      </c>
      <c r="P30" s="13">
        <f t="shared" si="4"/>
        <v>1018</v>
      </c>
      <c r="Q30" s="19">
        <f>N30/(C30/Inputs!$B$5)</f>
        <v>40.24752475247525</v>
      </c>
      <c r="R30" s="13">
        <f t="shared" si="5"/>
        <v>6577.17</v>
      </c>
      <c r="S30" s="9" t="str">
        <f>IF(P30&lt;M30,"Stockout risk",IF(Q30&gt;Inputs!$B$6,"Overstock","Healthy"))</f>
        <v>Healthy</v>
      </c>
      <c r="T30" s="12">
        <f t="shared" si="6"/>
        <v>0.99999997724464229</v>
      </c>
      <c r="U30" s="13">
        <f>IF(S30="Stockout risk",(M30-P30)*E30,IF(S30="Overstock",MAX(0,N30-Inputs!$B$6*C30/Inputs!$B$5)*E30,0))</f>
        <v>0</v>
      </c>
      <c r="V30" s="13">
        <f t="shared" si="7"/>
        <v>-3.0000000000000004E-8</v>
      </c>
      <c r="W30" s="9">
        <f t="shared" si="8"/>
        <v>33</v>
      </c>
      <c r="X30" s="9" t="str">
        <f>IF(D30/C30&gt;Inputs!$B$7,"High variability","")</f>
        <v/>
      </c>
    </row>
    <row r="31" spans="1:24" x14ac:dyDescent="0.3">
      <c r="A31" s="9" t="str">
        <f>Inputs!A26</f>
        <v>SKU-015</v>
      </c>
      <c r="B31" s="9" t="str">
        <f>Inputs!B26</f>
        <v>B</v>
      </c>
      <c r="C31" s="19">
        <f>Inputs!C26</f>
        <v>137.69999999999999</v>
      </c>
      <c r="D31" s="19">
        <f>Inputs!D26</f>
        <v>32.4</v>
      </c>
      <c r="E31" s="20">
        <f>Inputs!E26</f>
        <v>19.899999999999999</v>
      </c>
      <c r="F31" s="12">
        <f>Inputs!J26</f>
        <v>0.95</v>
      </c>
      <c r="G31" s="21">
        <f t="shared" si="0"/>
        <v>1.6448536269514715</v>
      </c>
      <c r="H31" s="22">
        <f>Inputs!H26/Inputs!$B$5</f>
        <v>5.1428571428571432</v>
      </c>
      <c r="I31" s="22">
        <f>Inputs!K26</f>
        <v>1</v>
      </c>
      <c r="J31" s="22">
        <f>Inputs!I26/Inputs!$B$5</f>
        <v>0.8571428571428571</v>
      </c>
      <c r="K31" s="19">
        <f t="shared" si="1"/>
        <v>142.75597846589508</v>
      </c>
      <c r="L31" s="19">
        <f t="shared" si="2"/>
        <v>234.81268894863371</v>
      </c>
      <c r="M31" s="13">
        <f t="shared" si="3"/>
        <v>1080.6841175200623</v>
      </c>
      <c r="N31" s="13">
        <f>Inputs!F26</f>
        <v>4488</v>
      </c>
      <c r="O31" s="13">
        <f>Inputs!G26</f>
        <v>0</v>
      </c>
      <c r="P31" s="13">
        <f t="shared" si="4"/>
        <v>4488</v>
      </c>
      <c r="Q31" s="19">
        <f>N31/(C31/Inputs!$B$5)</f>
        <v>228.14814814814815</v>
      </c>
      <c r="R31" s="13">
        <f t="shared" si="5"/>
        <v>89311.2</v>
      </c>
      <c r="S31" s="9" t="str">
        <f>IF(P31&lt;M31,"Stockout risk",IF(Q31&gt;Inputs!$B$6,"Overstock","Healthy"))</f>
        <v>Overstock</v>
      </c>
      <c r="T31" s="12">
        <f t="shared" si="6"/>
        <v>1</v>
      </c>
      <c r="U31" s="13">
        <f>IF(S31="Stockout risk",(M31-P31)*E31,IF(S31="Overstock",MAX(0,N31-Inputs!$B$6*C31/Inputs!$B$5)*E31,0))</f>
        <v>54079.671428571433</v>
      </c>
      <c r="V31" s="13">
        <f t="shared" si="7"/>
        <v>54079.67142854043</v>
      </c>
      <c r="W31" s="9">
        <f t="shared" si="8"/>
        <v>3</v>
      </c>
      <c r="X31" s="9" t="str">
        <f>IF(D31/C31&gt;Inputs!$B$7,"High variability","")</f>
        <v/>
      </c>
    </row>
    <row r="32" spans="1:24" x14ac:dyDescent="0.3">
      <c r="A32" s="9" t="str">
        <f>Inputs!A27</f>
        <v>SKU-016</v>
      </c>
      <c r="B32" s="9" t="str">
        <f>Inputs!B27</f>
        <v>B</v>
      </c>
      <c r="C32" s="19">
        <f>Inputs!C27</f>
        <v>134.30000000000001</v>
      </c>
      <c r="D32" s="19">
        <f>Inputs!D27</f>
        <v>47.1</v>
      </c>
      <c r="E32" s="20">
        <f>Inputs!E27</f>
        <v>15.65</v>
      </c>
      <c r="F32" s="12">
        <f>Inputs!J27</f>
        <v>0.95</v>
      </c>
      <c r="G32" s="21">
        <f t="shared" si="0"/>
        <v>1.6448536269514715</v>
      </c>
      <c r="H32" s="22">
        <f>Inputs!H27/Inputs!$B$5</f>
        <v>5.4285714285714288</v>
      </c>
      <c r="I32" s="22">
        <f>Inputs!K27</f>
        <v>1</v>
      </c>
      <c r="J32" s="22">
        <f>Inputs!I27/Inputs!$B$5</f>
        <v>1.4428571428571428</v>
      </c>
      <c r="K32" s="19">
        <f t="shared" si="1"/>
        <v>227.61861652728652</v>
      </c>
      <c r="L32" s="19">
        <f t="shared" si="2"/>
        <v>374.39930695658342</v>
      </c>
      <c r="M32" s="13">
        <f t="shared" si="3"/>
        <v>1237.7564498137265</v>
      </c>
      <c r="N32" s="13">
        <f>Inputs!F27</f>
        <v>1175</v>
      </c>
      <c r="O32" s="13">
        <f>Inputs!G27</f>
        <v>0</v>
      </c>
      <c r="P32" s="13">
        <f t="shared" si="4"/>
        <v>1175</v>
      </c>
      <c r="Q32" s="19">
        <f>N32/(C32/Inputs!$B$5)</f>
        <v>61.243484735666414</v>
      </c>
      <c r="R32" s="13">
        <f t="shared" si="5"/>
        <v>18388.75</v>
      </c>
      <c r="S32" s="9" t="str">
        <f>IF(P32&lt;M32,"Stockout risk",IF(Q32&gt;Inputs!$B$6,"Overstock","Healthy"))</f>
        <v>Stockout risk</v>
      </c>
      <c r="T32" s="12">
        <f t="shared" si="6"/>
        <v>0.91452299981216867</v>
      </c>
      <c r="U32" s="13">
        <f>IF(S32="Stockout risk",(M32-P32)*E32,IF(S32="Overstock",MAX(0,N32-Inputs!$B$6*C32/Inputs!$B$5)*E32,0))</f>
        <v>982.13843958481937</v>
      </c>
      <c r="V32" s="13">
        <f t="shared" si="7"/>
        <v>982.13843955281936</v>
      </c>
      <c r="W32" s="9">
        <f t="shared" si="8"/>
        <v>15</v>
      </c>
      <c r="X32" s="9" t="str">
        <f>IF(D32/C32&gt;Inputs!$B$7,"High variability","")</f>
        <v/>
      </c>
    </row>
    <row r="33" spans="1:24" x14ac:dyDescent="0.3">
      <c r="A33" s="9" t="str">
        <f>Inputs!A28</f>
        <v>SKU-017</v>
      </c>
      <c r="B33" s="9" t="str">
        <f>Inputs!B28</f>
        <v>B</v>
      </c>
      <c r="C33" s="19">
        <f>Inputs!C28</f>
        <v>69.3</v>
      </c>
      <c r="D33" s="19">
        <f>Inputs!D28</f>
        <v>28.2</v>
      </c>
      <c r="E33" s="20">
        <f>Inputs!E28</f>
        <v>28.02</v>
      </c>
      <c r="F33" s="12">
        <f>Inputs!J28</f>
        <v>0.95</v>
      </c>
      <c r="G33" s="21">
        <f t="shared" si="0"/>
        <v>1.6448536269514715</v>
      </c>
      <c r="H33" s="22">
        <f>Inputs!H28/Inputs!$B$5</f>
        <v>2.1428571428571428</v>
      </c>
      <c r="I33" s="22">
        <f>Inputs!K28</f>
        <v>1</v>
      </c>
      <c r="J33" s="22">
        <f>Inputs!I28/Inputs!$B$5</f>
        <v>0.18571428571428572</v>
      </c>
      <c r="K33" s="19">
        <f t="shared" si="1"/>
        <v>51.623275896495706</v>
      </c>
      <c r="L33" s="19">
        <f t="shared" si="2"/>
        <v>84.912732593467439</v>
      </c>
      <c r="M33" s="13">
        <f t="shared" si="3"/>
        <v>302.71273259346742</v>
      </c>
      <c r="N33" s="13">
        <f>Inputs!F28</f>
        <v>35</v>
      </c>
      <c r="O33" s="13">
        <f>Inputs!G28</f>
        <v>64</v>
      </c>
      <c r="P33" s="13">
        <f t="shared" si="4"/>
        <v>99</v>
      </c>
      <c r="Q33" s="19">
        <f>N33/(C33/Inputs!$B$5)</f>
        <v>3.535353535353535</v>
      </c>
      <c r="R33" s="13">
        <f t="shared" si="5"/>
        <v>980.69999999999993</v>
      </c>
      <c r="S33" s="9" t="str">
        <f>IF(P33&lt;M33,"Stockout risk",IF(Q33&gt;Inputs!$B$6,"Overstock","Healthy"))</f>
        <v>Stockout risk</v>
      </c>
      <c r="T33" s="12">
        <f t="shared" si="6"/>
        <v>1.0687692660012838E-2</v>
      </c>
      <c r="U33" s="13">
        <f>IF(S33="Stockout risk",(M33-P33)*E33,IF(S33="Overstock",MAX(0,N33-Inputs!$B$6*C33/Inputs!$B$5)*E33,0))</f>
        <v>5708.0307672689569</v>
      </c>
      <c r="V33" s="13">
        <f t="shared" si="7"/>
        <v>5708.0307672359568</v>
      </c>
      <c r="W33" s="9">
        <f t="shared" si="8"/>
        <v>8</v>
      </c>
      <c r="X33" s="9" t="str">
        <f>IF(D33/C33&gt;Inputs!$B$7,"High variability","")</f>
        <v/>
      </c>
    </row>
    <row r="34" spans="1:24" x14ac:dyDescent="0.3">
      <c r="A34" s="9" t="str">
        <f>Inputs!A29</f>
        <v>SKU-018</v>
      </c>
      <c r="B34" s="9" t="str">
        <f>Inputs!B29</f>
        <v>B</v>
      </c>
      <c r="C34" s="19">
        <f>Inputs!C29</f>
        <v>115.1</v>
      </c>
      <c r="D34" s="19">
        <f>Inputs!D29</f>
        <v>48.2</v>
      </c>
      <c r="E34" s="20">
        <f>Inputs!E29</f>
        <v>9.5399999999999991</v>
      </c>
      <c r="F34" s="12">
        <f>Inputs!J29</f>
        <v>0.95</v>
      </c>
      <c r="G34" s="21">
        <f t="shared" si="0"/>
        <v>1.6448536269514715</v>
      </c>
      <c r="H34" s="22">
        <f>Inputs!H29/Inputs!$B$5</f>
        <v>2.8571428571428572</v>
      </c>
      <c r="I34" s="22">
        <f>Inputs!K29</f>
        <v>1</v>
      </c>
      <c r="J34" s="22">
        <f>Inputs!I29/Inputs!$B$5</f>
        <v>0.31428571428571433</v>
      </c>
      <c r="K34" s="19">
        <f t="shared" si="1"/>
        <v>101.33926937948264</v>
      </c>
      <c r="L34" s="19">
        <f t="shared" si="2"/>
        <v>166.68826479145423</v>
      </c>
      <c r="M34" s="13">
        <f t="shared" si="3"/>
        <v>610.64540764859703</v>
      </c>
      <c r="N34" s="13">
        <f>Inputs!F29</f>
        <v>512</v>
      </c>
      <c r="O34" s="13">
        <f>Inputs!G29</f>
        <v>0</v>
      </c>
      <c r="P34" s="13">
        <f t="shared" si="4"/>
        <v>512</v>
      </c>
      <c r="Q34" s="19">
        <f>N34/(C34/Inputs!$B$5)</f>
        <v>31.138140747176369</v>
      </c>
      <c r="R34" s="13">
        <f t="shared" si="5"/>
        <v>4884.4799999999996</v>
      </c>
      <c r="S34" s="9" t="str">
        <f>IF(P34&lt;M34,"Stockout risk",IF(Q34&gt;Inputs!$B$6,"Overstock","Healthy"))</f>
        <v>Stockout risk</v>
      </c>
      <c r="T34" s="12">
        <f t="shared" si="6"/>
        <v>0.74902866490555142</v>
      </c>
      <c r="U34" s="13">
        <f>IF(S34="Stockout risk",(M34-P34)*E34,IF(S34="Overstock",MAX(0,N34-Inputs!$B$6*C34/Inputs!$B$5)*E34,0))</f>
        <v>941.0771889676156</v>
      </c>
      <c r="V34" s="13">
        <f t="shared" si="7"/>
        <v>941.07718893361562</v>
      </c>
      <c r="W34" s="9">
        <f t="shared" si="8"/>
        <v>16</v>
      </c>
      <c r="X34" s="9" t="str">
        <f>IF(D34/C34&gt;Inputs!$B$7,"High variability","")</f>
        <v/>
      </c>
    </row>
    <row r="35" spans="1:24" x14ac:dyDescent="0.3">
      <c r="A35" s="9" t="str">
        <f>Inputs!A30</f>
        <v>SKU-019</v>
      </c>
      <c r="B35" s="9" t="str">
        <f>Inputs!B30</f>
        <v>B</v>
      </c>
      <c r="C35" s="19">
        <f>Inputs!C30</f>
        <v>176.7</v>
      </c>
      <c r="D35" s="19">
        <f>Inputs!D30</f>
        <v>39.700000000000003</v>
      </c>
      <c r="E35" s="20">
        <f>Inputs!E30</f>
        <v>29.49</v>
      </c>
      <c r="F35" s="12">
        <f>Inputs!J30</f>
        <v>0.95</v>
      </c>
      <c r="G35" s="21">
        <f t="shared" si="0"/>
        <v>1.6448536269514715</v>
      </c>
      <c r="H35" s="22">
        <f>Inputs!H30/Inputs!$B$5</f>
        <v>4.2857142857142856</v>
      </c>
      <c r="I35" s="22">
        <f>Inputs!K30</f>
        <v>1</v>
      </c>
      <c r="J35" s="22">
        <f>Inputs!I30/Inputs!$B$5</f>
        <v>0.9</v>
      </c>
      <c r="K35" s="19">
        <f t="shared" si="1"/>
        <v>183.36112545621941</v>
      </c>
      <c r="L35" s="19">
        <f t="shared" si="2"/>
        <v>301.60221224856627</v>
      </c>
      <c r="M35" s="13">
        <f t="shared" si="3"/>
        <v>1235.5879265342805</v>
      </c>
      <c r="N35" s="13">
        <f>Inputs!F30</f>
        <v>4644</v>
      </c>
      <c r="O35" s="13">
        <f>Inputs!G30</f>
        <v>0</v>
      </c>
      <c r="P35" s="13">
        <f t="shared" si="4"/>
        <v>4644</v>
      </c>
      <c r="Q35" s="19">
        <f>N35/(C35/Inputs!$B$5)</f>
        <v>183.9728353140917</v>
      </c>
      <c r="R35" s="13">
        <f t="shared" si="5"/>
        <v>136951.56</v>
      </c>
      <c r="S35" s="9" t="str">
        <f>IF(P35&lt;M35,"Stockout risk",IF(Q35&gt;Inputs!$B$6,"Overstock","Healthy"))</f>
        <v>Overstock</v>
      </c>
      <c r="T35" s="12">
        <f t="shared" si="6"/>
        <v>1</v>
      </c>
      <c r="U35" s="13">
        <f>IF(S35="Stockout risk",(M35-P35)*E35,IF(S35="Overstock",MAX(0,N35-Inputs!$B$6*C35/Inputs!$B$5)*E35,0))</f>
        <v>69954.492857142861</v>
      </c>
      <c r="V35" s="13">
        <f t="shared" si="7"/>
        <v>69954.492857107864</v>
      </c>
      <c r="W35" s="9">
        <f t="shared" si="8"/>
        <v>2</v>
      </c>
      <c r="X35" s="9" t="str">
        <f>IF(D35/C35&gt;Inputs!$B$7,"High variability","")</f>
        <v/>
      </c>
    </row>
    <row r="36" spans="1:24" x14ac:dyDescent="0.3">
      <c r="A36" s="9" t="str">
        <f>Inputs!A31</f>
        <v>SKU-020</v>
      </c>
      <c r="B36" s="9" t="str">
        <f>Inputs!B31</f>
        <v>B</v>
      </c>
      <c r="C36" s="19">
        <f>Inputs!C31</f>
        <v>113.9</v>
      </c>
      <c r="D36" s="19">
        <f>Inputs!D31</f>
        <v>26.8</v>
      </c>
      <c r="E36" s="20">
        <f>Inputs!E31</f>
        <v>10.81</v>
      </c>
      <c r="F36" s="12">
        <f>Inputs!J31</f>
        <v>0.95</v>
      </c>
      <c r="G36" s="21">
        <f t="shared" si="0"/>
        <v>1.6448536269514715</v>
      </c>
      <c r="H36" s="22">
        <f>Inputs!H31/Inputs!$B$5</f>
        <v>5.4285714285714288</v>
      </c>
      <c r="I36" s="22">
        <f>Inputs!K31</f>
        <v>1</v>
      </c>
      <c r="J36" s="22">
        <f>Inputs!I31/Inputs!$B$5</f>
        <v>0.77142857142857146</v>
      </c>
      <c r="K36" s="19">
        <f t="shared" si="1"/>
        <v>111.07493367000458</v>
      </c>
      <c r="L36" s="19">
        <f t="shared" si="2"/>
        <v>182.70200751050118</v>
      </c>
      <c r="M36" s="13">
        <f t="shared" si="3"/>
        <v>914.91629322478695</v>
      </c>
      <c r="N36" s="13">
        <f>Inputs!F31</f>
        <v>1358</v>
      </c>
      <c r="O36" s="13">
        <f>Inputs!G31</f>
        <v>0</v>
      </c>
      <c r="P36" s="13">
        <f t="shared" si="4"/>
        <v>1358</v>
      </c>
      <c r="Q36" s="19">
        <f>N36/(C36/Inputs!$B$5)</f>
        <v>83.459174714661984</v>
      </c>
      <c r="R36" s="13">
        <f t="shared" si="5"/>
        <v>14679.980000000001</v>
      </c>
      <c r="S36" s="9" t="str">
        <f>IF(P36&lt;M36,"Stockout risk",IF(Q36&gt;Inputs!$B$6,"Overstock","Healthy"))</f>
        <v>Healthy</v>
      </c>
      <c r="T36" s="12">
        <f t="shared" si="6"/>
        <v>0.99999999119133676</v>
      </c>
      <c r="U36" s="13">
        <f>IF(S36="Stockout risk",(M36-P36)*E36,IF(S36="Overstock",MAX(0,N36-Inputs!$B$6*C36/Inputs!$B$5)*E36,0))</f>
        <v>0</v>
      </c>
      <c r="V36" s="13">
        <f t="shared" si="7"/>
        <v>-3.6000000000000005E-8</v>
      </c>
      <c r="W36" s="9">
        <f t="shared" si="8"/>
        <v>34</v>
      </c>
      <c r="X36" s="9" t="str">
        <f>IF(D36/C36&gt;Inputs!$B$7,"High variability","")</f>
        <v/>
      </c>
    </row>
    <row r="37" spans="1:24" x14ac:dyDescent="0.3">
      <c r="A37" s="9" t="str">
        <f>Inputs!A32</f>
        <v>SKU-021</v>
      </c>
      <c r="B37" s="9" t="str">
        <f>Inputs!B32</f>
        <v>C</v>
      </c>
      <c r="C37" s="19">
        <f>Inputs!C32</f>
        <v>23.1</v>
      </c>
      <c r="D37" s="19">
        <f>Inputs!D32</f>
        <v>15.2</v>
      </c>
      <c r="E37" s="20">
        <f>Inputs!E32</f>
        <v>9.86</v>
      </c>
      <c r="F37" s="12">
        <f>Inputs!J32</f>
        <v>0.9</v>
      </c>
      <c r="G37" s="21">
        <f t="shared" si="0"/>
        <v>1.2815515655446006</v>
      </c>
      <c r="H37" s="22">
        <f>Inputs!H32/Inputs!$B$5</f>
        <v>1.4285714285714286</v>
      </c>
      <c r="I37" s="22">
        <f>Inputs!K32</f>
        <v>1</v>
      </c>
      <c r="J37" s="22">
        <f>Inputs!I32/Inputs!$B$5</f>
        <v>0.32857142857142857</v>
      </c>
      <c r="K37" s="19">
        <f t="shared" si="1"/>
        <v>24.873786258974384</v>
      </c>
      <c r="L37" s="19">
        <f t="shared" si="2"/>
        <v>31.877039721210394</v>
      </c>
      <c r="M37" s="13">
        <f t="shared" si="3"/>
        <v>87.977039721210403</v>
      </c>
      <c r="N37" s="13">
        <f>Inputs!F32</f>
        <v>26</v>
      </c>
      <c r="O37" s="13">
        <f>Inputs!G32</f>
        <v>0</v>
      </c>
      <c r="P37" s="13">
        <f t="shared" si="4"/>
        <v>26</v>
      </c>
      <c r="Q37" s="19">
        <f>N37/(C37/Inputs!$B$5)</f>
        <v>7.878787878787878</v>
      </c>
      <c r="R37" s="13">
        <f t="shared" si="5"/>
        <v>256.36</v>
      </c>
      <c r="S37" s="9" t="str">
        <f>IF(P37&lt;M37,"Stockout risk",IF(Q37&gt;Inputs!$B$6,"Overstock","Healthy"))</f>
        <v>Stockout risk</v>
      </c>
      <c r="T37" s="12">
        <f t="shared" si="6"/>
        <v>0.11311847811882286</v>
      </c>
      <c r="U37" s="13">
        <f>IF(S37="Stockout risk",(M37-P37)*E37,IF(S37="Overstock",MAX(0,N37-Inputs!$B$6*C37/Inputs!$B$5)*E37,0))</f>
        <v>611.09361165113455</v>
      </c>
      <c r="V37" s="13">
        <f t="shared" si="7"/>
        <v>611.0936116141346</v>
      </c>
      <c r="W37" s="9">
        <f t="shared" si="8"/>
        <v>20</v>
      </c>
      <c r="X37" s="9" t="str">
        <f>IF(D37/C37&gt;Inputs!$B$7,"High variability","")</f>
        <v>High variability</v>
      </c>
    </row>
    <row r="38" spans="1:24" x14ac:dyDescent="0.3">
      <c r="A38" s="9" t="str">
        <f>Inputs!A33</f>
        <v>SKU-022</v>
      </c>
      <c r="B38" s="9" t="str">
        <f>Inputs!B33</f>
        <v>C</v>
      </c>
      <c r="C38" s="19">
        <f>Inputs!C33</f>
        <v>9.6</v>
      </c>
      <c r="D38" s="19">
        <f>Inputs!D33</f>
        <v>8</v>
      </c>
      <c r="E38" s="20">
        <f>Inputs!E33</f>
        <v>11.96</v>
      </c>
      <c r="F38" s="12">
        <f>Inputs!J33</f>
        <v>0.9</v>
      </c>
      <c r="G38" s="21">
        <f t="shared" si="0"/>
        <v>1.2815515655446006</v>
      </c>
      <c r="H38" s="22">
        <f>Inputs!H33/Inputs!$B$5</f>
        <v>3.1428571428571428</v>
      </c>
      <c r="I38" s="22">
        <f>Inputs!K33</f>
        <v>1</v>
      </c>
      <c r="J38" s="22">
        <f>Inputs!I33/Inputs!$B$5</f>
        <v>0.7857142857142857</v>
      </c>
      <c r="K38" s="19">
        <f t="shared" si="1"/>
        <v>17.945404732699902</v>
      </c>
      <c r="L38" s="19">
        <f t="shared" si="2"/>
        <v>22.997961529523046</v>
      </c>
      <c r="M38" s="13">
        <f t="shared" si="3"/>
        <v>62.769390100951611</v>
      </c>
      <c r="N38" s="13">
        <f>Inputs!F33</f>
        <v>173</v>
      </c>
      <c r="O38" s="13">
        <f>Inputs!G33</f>
        <v>0</v>
      </c>
      <c r="P38" s="13">
        <f t="shared" si="4"/>
        <v>173</v>
      </c>
      <c r="Q38" s="19">
        <f>N38/(C38/Inputs!$B$5)</f>
        <v>126.14583333333333</v>
      </c>
      <c r="R38" s="13">
        <f t="shared" si="5"/>
        <v>2069.08</v>
      </c>
      <c r="S38" s="9" t="str">
        <f>IF(P38&lt;M38,"Stockout risk",IF(Q38&gt;Inputs!$B$6,"Overstock","Healthy"))</f>
        <v>Overstock</v>
      </c>
      <c r="T38" s="12">
        <f t="shared" si="6"/>
        <v>0.99999999999994327</v>
      </c>
      <c r="U38" s="13">
        <f>IF(S38="Stockout risk",(M38-P38)*E38,IF(S38="Overstock",MAX(0,N38-Inputs!$B$6*C38/Inputs!$B$5)*E38,0))</f>
        <v>592.87428571428575</v>
      </c>
      <c r="V38" s="13">
        <f t="shared" si="7"/>
        <v>592.87428567628569</v>
      </c>
      <c r="W38" s="9">
        <f t="shared" si="8"/>
        <v>21</v>
      </c>
      <c r="X38" s="9" t="str">
        <f>IF(D38/C38&gt;Inputs!$B$7,"High variability","")</f>
        <v>High variability</v>
      </c>
    </row>
    <row r="39" spans="1:24" x14ac:dyDescent="0.3">
      <c r="A39" s="9" t="str">
        <f>Inputs!A34</f>
        <v>SKU-023</v>
      </c>
      <c r="B39" s="9" t="str">
        <f>Inputs!B34</f>
        <v>C</v>
      </c>
      <c r="C39" s="19">
        <f>Inputs!C34</f>
        <v>36.5</v>
      </c>
      <c r="D39" s="19">
        <f>Inputs!D34</f>
        <v>26.3</v>
      </c>
      <c r="E39" s="20">
        <f>Inputs!E34</f>
        <v>9.39</v>
      </c>
      <c r="F39" s="12">
        <f>Inputs!J34</f>
        <v>0.9</v>
      </c>
      <c r="G39" s="21">
        <f t="shared" si="0"/>
        <v>1.2815515655446006</v>
      </c>
      <c r="H39" s="22">
        <f>Inputs!H34/Inputs!$B$5</f>
        <v>2</v>
      </c>
      <c r="I39" s="22">
        <f>Inputs!K34</f>
        <v>1</v>
      </c>
      <c r="J39" s="22">
        <f>Inputs!I34/Inputs!$B$5</f>
        <v>0.15714285714285717</v>
      </c>
      <c r="K39" s="19">
        <f t="shared" si="1"/>
        <v>45.912617202326281</v>
      </c>
      <c r="L39" s="19">
        <f t="shared" si="2"/>
        <v>58.839386453891208</v>
      </c>
      <c r="M39" s="13">
        <f t="shared" si="3"/>
        <v>168.33938645389122</v>
      </c>
      <c r="N39" s="13">
        <f>Inputs!F34</f>
        <v>21</v>
      </c>
      <c r="O39" s="13">
        <f>Inputs!G34</f>
        <v>0</v>
      </c>
      <c r="P39" s="13">
        <f t="shared" si="4"/>
        <v>21</v>
      </c>
      <c r="Q39" s="19">
        <f>N39/(C39/Inputs!$B$5)</f>
        <v>4.0273972602739727</v>
      </c>
      <c r="R39" s="13">
        <f t="shared" si="5"/>
        <v>197.19</v>
      </c>
      <c r="S39" s="9" t="str">
        <f>IF(P39&lt;M39,"Stockout risk",IF(Q39&gt;Inputs!$B$6,"Overstock","Healthy"))</f>
        <v>Stockout risk</v>
      </c>
      <c r="T39" s="12">
        <f t="shared" si="6"/>
        <v>2.6954023240490781E-2</v>
      </c>
      <c r="U39" s="13">
        <f>IF(S39="Stockout risk",(M39-P39)*E39,IF(S39="Overstock",MAX(0,N39-Inputs!$B$6*C39/Inputs!$B$5)*E39,0))</f>
        <v>1383.5168388020386</v>
      </c>
      <c r="V39" s="13">
        <f t="shared" si="7"/>
        <v>1383.5168387630385</v>
      </c>
      <c r="W39" s="9">
        <f t="shared" si="8"/>
        <v>13</v>
      </c>
      <c r="X39" s="9" t="str">
        <f>IF(D39/C39&gt;Inputs!$B$7,"High variability","")</f>
        <v>High variability</v>
      </c>
    </row>
    <row r="40" spans="1:24" x14ac:dyDescent="0.3">
      <c r="A40" s="9" t="str">
        <f>Inputs!A35</f>
        <v>SKU-024</v>
      </c>
      <c r="B40" s="9" t="str">
        <f>Inputs!B35</f>
        <v>C</v>
      </c>
      <c r="C40" s="19">
        <f>Inputs!C35</f>
        <v>54.4</v>
      </c>
      <c r="D40" s="19">
        <f>Inputs!D35</f>
        <v>27.2</v>
      </c>
      <c r="E40" s="20">
        <f>Inputs!E35</f>
        <v>3.07</v>
      </c>
      <c r="F40" s="12">
        <f>Inputs!J35</f>
        <v>0.9</v>
      </c>
      <c r="G40" s="21">
        <f t="shared" si="0"/>
        <v>1.2815515655446006</v>
      </c>
      <c r="H40" s="22">
        <f>Inputs!H35/Inputs!$B$5</f>
        <v>8.1428571428571423</v>
      </c>
      <c r="I40" s="22">
        <f>Inputs!K35</f>
        <v>1</v>
      </c>
      <c r="J40" s="22">
        <f>Inputs!I35/Inputs!$B$5</f>
        <v>2.3142857142857141</v>
      </c>
      <c r="K40" s="19">
        <f t="shared" si="1"/>
        <v>150.38065702796771</v>
      </c>
      <c r="L40" s="19">
        <f t="shared" si="2"/>
        <v>192.72056644181768</v>
      </c>
      <c r="M40" s="13">
        <f t="shared" si="3"/>
        <v>690.09199501324622</v>
      </c>
      <c r="N40" s="13">
        <f>Inputs!F35</f>
        <v>947</v>
      </c>
      <c r="O40" s="13">
        <f>Inputs!G35</f>
        <v>0</v>
      </c>
      <c r="P40" s="13">
        <f t="shared" si="4"/>
        <v>947</v>
      </c>
      <c r="Q40" s="19">
        <f>N40/(C40/Inputs!$B$5)</f>
        <v>121.85661764705883</v>
      </c>
      <c r="R40" s="13">
        <f t="shared" si="5"/>
        <v>2907.29</v>
      </c>
      <c r="S40" s="9" t="str">
        <f>IF(P40&lt;M40,"Stockout risk",IF(Q40&gt;Inputs!$B$6,"Overstock","Healthy"))</f>
        <v>Overstock</v>
      </c>
      <c r="T40" s="12">
        <f t="shared" si="6"/>
        <v>0.99860482142475149</v>
      </c>
      <c r="U40" s="13">
        <f>IF(S40="Stockout risk",(M40-P40)*E40,IF(S40="Overstock",MAX(0,N40-Inputs!$B$6*C40/Inputs!$B$5)*E40,0))</f>
        <v>760.04428571428559</v>
      </c>
      <c r="V40" s="13">
        <f t="shared" si="7"/>
        <v>760.04428567428556</v>
      </c>
      <c r="W40" s="9">
        <f t="shared" si="8"/>
        <v>19</v>
      </c>
      <c r="X40" s="9" t="str">
        <f>IF(D40/C40&gt;Inputs!$B$7,"High variability","")</f>
        <v/>
      </c>
    </row>
    <row r="41" spans="1:24" x14ac:dyDescent="0.3">
      <c r="A41" s="9" t="str">
        <f>Inputs!A36</f>
        <v>SKU-025</v>
      </c>
      <c r="B41" s="9" t="str">
        <f>Inputs!B36</f>
        <v>C</v>
      </c>
      <c r="C41" s="19">
        <f>Inputs!C36</f>
        <v>25.7</v>
      </c>
      <c r="D41" s="19">
        <f>Inputs!D36</f>
        <v>21.2</v>
      </c>
      <c r="E41" s="20">
        <f>Inputs!E36</f>
        <v>9.92</v>
      </c>
      <c r="F41" s="12">
        <f>Inputs!J36</f>
        <v>0.9</v>
      </c>
      <c r="G41" s="21">
        <f t="shared" si="0"/>
        <v>1.2815515655446006</v>
      </c>
      <c r="H41" s="22">
        <f>Inputs!H36/Inputs!$B$5</f>
        <v>1.8571428571428572</v>
      </c>
      <c r="I41" s="22">
        <f>Inputs!K36</f>
        <v>1</v>
      </c>
      <c r="J41" s="22">
        <f>Inputs!I36/Inputs!$B$5</f>
        <v>0.37142857142857144</v>
      </c>
      <c r="K41" s="19">
        <f t="shared" si="1"/>
        <v>37.084160324035594</v>
      </c>
      <c r="L41" s="19">
        <f t="shared" si="2"/>
        <v>47.525263720174777</v>
      </c>
      <c r="M41" s="13">
        <f t="shared" si="3"/>
        <v>120.95383514874621</v>
      </c>
      <c r="N41" s="13">
        <f>Inputs!F36</f>
        <v>117</v>
      </c>
      <c r="O41" s="13">
        <f>Inputs!G36</f>
        <v>17</v>
      </c>
      <c r="P41" s="13">
        <f t="shared" si="4"/>
        <v>134</v>
      </c>
      <c r="Q41" s="19">
        <f>N41/(C41/Inputs!$B$5)</f>
        <v>31.867704280155642</v>
      </c>
      <c r="R41" s="13">
        <f t="shared" si="5"/>
        <v>1160.6400000000001</v>
      </c>
      <c r="S41" s="9" t="str">
        <f>IF(P41&lt;M41,"Stockout risk",IF(Q41&gt;Inputs!$B$6,"Overstock","Healthy"))</f>
        <v>Healthy</v>
      </c>
      <c r="T41" s="12">
        <f t="shared" si="6"/>
        <v>0.94880234013159825</v>
      </c>
      <c r="U41" s="13">
        <f>IF(S41="Stockout risk",(M41-P41)*E41,IF(S41="Overstock",MAX(0,N41-Inputs!$B$6*C41/Inputs!$B$5)*E41,0))</f>
        <v>0</v>
      </c>
      <c r="V41" s="13">
        <f t="shared" si="7"/>
        <v>-4.1000000000000003E-8</v>
      </c>
      <c r="W41" s="9">
        <f t="shared" si="8"/>
        <v>35</v>
      </c>
      <c r="X41" s="9" t="str">
        <f>IF(D41/C41&gt;Inputs!$B$7,"High variability","")</f>
        <v>High variability</v>
      </c>
    </row>
    <row r="42" spans="1:24" x14ac:dyDescent="0.3">
      <c r="A42" s="9" t="str">
        <f>Inputs!A37</f>
        <v>SKU-026</v>
      </c>
      <c r="B42" s="9" t="str">
        <f>Inputs!B37</f>
        <v>C</v>
      </c>
      <c r="C42" s="19">
        <f>Inputs!C37</f>
        <v>55.5</v>
      </c>
      <c r="D42" s="19">
        <f>Inputs!D37</f>
        <v>47.1</v>
      </c>
      <c r="E42" s="20">
        <f>Inputs!E37</f>
        <v>12.72</v>
      </c>
      <c r="F42" s="12">
        <f>Inputs!J37</f>
        <v>0.9</v>
      </c>
      <c r="G42" s="21">
        <f t="shared" si="0"/>
        <v>1.2815515655446006</v>
      </c>
      <c r="H42" s="22">
        <f>Inputs!H37/Inputs!$B$5</f>
        <v>1.8571428571428572</v>
      </c>
      <c r="I42" s="22">
        <f>Inputs!K37</f>
        <v>1</v>
      </c>
      <c r="J42" s="22">
        <f>Inputs!I37/Inputs!$B$5</f>
        <v>0.14285714285714285</v>
      </c>
      <c r="K42" s="19">
        <f t="shared" si="1"/>
        <v>80.007352978412214</v>
      </c>
      <c r="L42" s="19">
        <f t="shared" si="2"/>
        <v>102.53354846456364</v>
      </c>
      <c r="M42" s="13">
        <f t="shared" si="3"/>
        <v>261.10497703599219</v>
      </c>
      <c r="N42" s="13">
        <f>Inputs!F37</f>
        <v>989</v>
      </c>
      <c r="O42" s="13">
        <f>Inputs!G37</f>
        <v>0</v>
      </c>
      <c r="P42" s="13">
        <f t="shared" si="4"/>
        <v>989</v>
      </c>
      <c r="Q42" s="19">
        <f>N42/(C42/Inputs!$B$5)</f>
        <v>124.73873873873873</v>
      </c>
      <c r="R42" s="13">
        <f t="shared" si="5"/>
        <v>12580.08</v>
      </c>
      <c r="S42" s="9" t="str">
        <f>IF(P42&lt;M42,"Stockout risk",IF(Q42&gt;Inputs!$B$6,"Overstock","Healthy"))</f>
        <v>Overstock</v>
      </c>
      <c r="T42" s="12">
        <f t="shared" si="6"/>
        <v>1</v>
      </c>
      <c r="U42" s="13">
        <f>IF(S42="Stockout risk",(M42-P42)*E42,IF(S42="Overstock",MAX(0,N42-Inputs!$B$6*C42/Inputs!$B$5)*E42,0))</f>
        <v>3503.451428571429</v>
      </c>
      <c r="V42" s="13">
        <f t="shared" si="7"/>
        <v>3503.451428529429</v>
      </c>
      <c r="W42" s="9">
        <f t="shared" si="8"/>
        <v>10</v>
      </c>
      <c r="X42" s="9" t="str">
        <f>IF(D42/C42&gt;Inputs!$B$7,"High variability","")</f>
        <v>High variability</v>
      </c>
    </row>
    <row r="43" spans="1:24" x14ac:dyDescent="0.3">
      <c r="A43" s="9" t="str">
        <f>Inputs!A38</f>
        <v>SKU-027</v>
      </c>
      <c r="B43" s="9" t="str">
        <f>Inputs!B38</f>
        <v>C</v>
      </c>
      <c r="C43" s="19">
        <f>Inputs!C38</f>
        <v>12.9</v>
      </c>
      <c r="D43" s="19">
        <f>Inputs!D38</f>
        <v>10.3</v>
      </c>
      <c r="E43" s="20">
        <f>Inputs!E38</f>
        <v>1.08</v>
      </c>
      <c r="F43" s="12">
        <f>Inputs!J38</f>
        <v>0.9</v>
      </c>
      <c r="G43" s="21">
        <f t="shared" si="0"/>
        <v>1.2815515655446006</v>
      </c>
      <c r="H43" s="22">
        <f>Inputs!H38/Inputs!$B$5</f>
        <v>2.1428571428571428</v>
      </c>
      <c r="I43" s="22">
        <f>Inputs!K38</f>
        <v>1</v>
      </c>
      <c r="J43" s="22">
        <f>Inputs!I38/Inputs!$B$5</f>
        <v>0.42857142857142855</v>
      </c>
      <c r="K43" s="19">
        <f t="shared" si="1"/>
        <v>19.078543349179743</v>
      </c>
      <c r="L43" s="19">
        <f t="shared" si="2"/>
        <v>24.450137097451826</v>
      </c>
      <c r="M43" s="13">
        <f t="shared" si="3"/>
        <v>64.992994240308974</v>
      </c>
      <c r="N43" s="13">
        <f>Inputs!F38</f>
        <v>221</v>
      </c>
      <c r="O43" s="13">
        <f>Inputs!G38</f>
        <v>0</v>
      </c>
      <c r="P43" s="13">
        <f t="shared" si="4"/>
        <v>221</v>
      </c>
      <c r="Q43" s="19">
        <f>N43/(C43/Inputs!$B$5)</f>
        <v>119.92248062015503</v>
      </c>
      <c r="R43" s="13">
        <f t="shared" si="5"/>
        <v>238.68</v>
      </c>
      <c r="S43" s="9" t="str">
        <f>IF(P43&lt;M43,"Stockout risk",IF(Q43&gt;Inputs!$B$6,"Overstock","Healthy"))</f>
        <v>Overstock</v>
      </c>
      <c r="T43" s="12">
        <f t="shared" si="6"/>
        <v>1</v>
      </c>
      <c r="U43" s="13">
        <f>IF(S43="Stockout risk",(M43-P43)*E43,IF(S43="Overstock",MAX(0,N43-Inputs!$B$6*C43/Inputs!$B$5)*E43,0))</f>
        <v>59.554285714285712</v>
      </c>
      <c r="V43" s="13">
        <f t="shared" si="7"/>
        <v>59.554285671285712</v>
      </c>
      <c r="W43" s="9">
        <f t="shared" si="8"/>
        <v>23</v>
      </c>
      <c r="X43" s="9" t="str">
        <f>IF(D43/C43&gt;Inputs!$B$7,"High variability","")</f>
        <v>High variability</v>
      </c>
    </row>
    <row r="44" spans="1:24" x14ac:dyDescent="0.3">
      <c r="A44" s="9" t="str">
        <f>Inputs!A39</f>
        <v>SKU-028</v>
      </c>
      <c r="B44" s="9" t="str">
        <f>Inputs!B39</f>
        <v>C</v>
      </c>
      <c r="C44" s="19">
        <f>Inputs!C39</f>
        <v>43.4</v>
      </c>
      <c r="D44" s="19">
        <f>Inputs!D39</f>
        <v>17.8</v>
      </c>
      <c r="E44" s="20">
        <f>Inputs!E39</f>
        <v>11.43</v>
      </c>
      <c r="F44" s="12">
        <f>Inputs!J39</f>
        <v>0.9</v>
      </c>
      <c r="G44" s="21">
        <f t="shared" si="0"/>
        <v>1.2815515655446006</v>
      </c>
      <c r="H44" s="22">
        <f>Inputs!H39/Inputs!$B$5</f>
        <v>1.2857142857142858</v>
      </c>
      <c r="I44" s="22">
        <f>Inputs!K39</f>
        <v>1</v>
      </c>
      <c r="J44" s="22">
        <f>Inputs!I39/Inputs!$B$5</f>
        <v>0.27142857142857141</v>
      </c>
      <c r="K44" s="19">
        <f t="shared" si="1"/>
        <v>29.376421059851967</v>
      </c>
      <c r="L44" s="19">
        <f t="shared" si="2"/>
        <v>37.647398399350664</v>
      </c>
      <c r="M44" s="13">
        <f t="shared" si="3"/>
        <v>136.84739839935065</v>
      </c>
      <c r="N44" s="13">
        <f>Inputs!F39</f>
        <v>862</v>
      </c>
      <c r="O44" s="13">
        <f>Inputs!G39</f>
        <v>35</v>
      </c>
      <c r="P44" s="13">
        <f t="shared" si="4"/>
        <v>897</v>
      </c>
      <c r="Q44" s="19">
        <f>N44/(C44/Inputs!$B$5)</f>
        <v>139.03225806451613</v>
      </c>
      <c r="R44" s="13">
        <f t="shared" si="5"/>
        <v>9852.66</v>
      </c>
      <c r="S44" s="9" t="str">
        <f>IF(P44&lt;M44,"Stockout risk",IF(Q44&gt;Inputs!$B$6,"Overstock","Healthy"))</f>
        <v>Overstock</v>
      </c>
      <c r="T44" s="12">
        <f t="shared" si="6"/>
        <v>1</v>
      </c>
      <c r="U44" s="13">
        <f>IF(S44="Stockout risk",(M44-P44)*E44,IF(S44="Overstock",MAX(0,N44-Inputs!$B$6*C44/Inputs!$B$5)*E44,0))</f>
        <v>3474.72</v>
      </c>
      <c r="V44" s="13">
        <f t="shared" si="7"/>
        <v>3474.7199999559998</v>
      </c>
      <c r="W44" s="9">
        <f t="shared" si="8"/>
        <v>11</v>
      </c>
      <c r="X44" s="9" t="str">
        <f>IF(D44/C44&gt;Inputs!$B$7,"High variability","")</f>
        <v/>
      </c>
    </row>
    <row r="45" spans="1:24" x14ac:dyDescent="0.3">
      <c r="A45" s="9" t="str">
        <f>Inputs!A40</f>
        <v>SKU-029</v>
      </c>
      <c r="B45" s="9" t="str">
        <f>Inputs!B40</f>
        <v>C</v>
      </c>
      <c r="C45" s="19">
        <f>Inputs!C40</f>
        <v>8</v>
      </c>
      <c r="D45" s="19">
        <f>Inputs!D40</f>
        <v>6.3</v>
      </c>
      <c r="E45" s="20">
        <f>Inputs!E40</f>
        <v>2.2799999999999998</v>
      </c>
      <c r="F45" s="12">
        <f>Inputs!J40</f>
        <v>0.9</v>
      </c>
      <c r="G45" s="21">
        <f t="shared" si="0"/>
        <v>1.2815515655446006</v>
      </c>
      <c r="H45" s="22">
        <f>Inputs!H40/Inputs!$B$5</f>
        <v>6.8571428571428568</v>
      </c>
      <c r="I45" s="22">
        <f>Inputs!K40</f>
        <v>1</v>
      </c>
      <c r="J45" s="22">
        <f>Inputs!I40/Inputs!$B$5</f>
        <v>2.0285714285714285</v>
      </c>
      <c r="K45" s="19">
        <f t="shared" si="1"/>
        <v>23.983672166960687</v>
      </c>
      <c r="L45" s="19">
        <f t="shared" si="2"/>
        <v>30.736312613076933</v>
      </c>
      <c r="M45" s="13">
        <f t="shared" si="3"/>
        <v>93.593455470219794</v>
      </c>
      <c r="N45" s="13">
        <f>Inputs!F40</f>
        <v>113</v>
      </c>
      <c r="O45" s="13">
        <f>Inputs!G40</f>
        <v>30</v>
      </c>
      <c r="P45" s="13">
        <f t="shared" si="4"/>
        <v>143</v>
      </c>
      <c r="Q45" s="19">
        <f>N45/(C45/Inputs!$B$5)</f>
        <v>98.875</v>
      </c>
      <c r="R45" s="13">
        <f t="shared" si="5"/>
        <v>257.64</v>
      </c>
      <c r="S45" s="9" t="str">
        <f>IF(P45&lt;M45,"Stockout risk",IF(Q45&gt;Inputs!$B$6,"Overstock","Healthy"))</f>
        <v>Overstock</v>
      </c>
      <c r="T45" s="12">
        <f t="shared" si="6"/>
        <v>0.9995834535541912</v>
      </c>
      <c r="U45" s="13">
        <f>IF(S45="Stockout risk",(M45-P45)*E45,IF(S45="Overstock",MAX(0,N45-Inputs!$B$6*C45/Inputs!$B$5)*E45,0))</f>
        <v>23.125714285714274</v>
      </c>
      <c r="V45" s="13">
        <f t="shared" si="7"/>
        <v>23.125714240714274</v>
      </c>
      <c r="W45" s="9">
        <f t="shared" si="8"/>
        <v>24</v>
      </c>
      <c r="X45" s="9" t="str">
        <f>IF(D45/C45&gt;Inputs!$B$7,"High variability","")</f>
        <v>High variability</v>
      </c>
    </row>
    <row r="46" spans="1:24" x14ac:dyDescent="0.3">
      <c r="A46" s="9" t="str">
        <f>Inputs!A41</f>
        <v>SKU-030</v>
      </c>
      <c r="B46" s="9" t="str">
        <f>Inputs!B41</f>
        <v>C</v>
      </c>
      <c r="C46" s="19">
        <f>Inputs!C41</f>
        <v>43.5</v>
      </c>
      <c r="D46" s="19">
        <f>Inputs!D41</f>
        <v>16.600000000000001</v>
      </c>
      <c r="E46" s="20">
        <f>Inputs!E41</f>
        <v>7.64</v>
      </c>
      <c r="F46" s="12">
        <f>Inputs!J41</f>
        <v>0.9</v>
      </c>
      <c r="G46" s="21">
        <f t="shared" si="0"/>
        <v>1.2815515655446006</v>
      </c>
      <c r="H46" s="22">
        <f>Inputs!H41/Inputs!$B$5</f>
        <v>2.2857142857142856</v>
      </c>
      <c r="I46" s="22">
        <f>Inputs!K41</f>
        <v>1</v>
      </c>
      <c r="J46" s="22">
        <f>Inputs!I41/Inputs!$B$5</f>
        <v>0.18571428571428572</v>
      </c>
      <c r="K46" s="19">
        <f t="shared" si="1"/>
        <v>31.155653498168824</v>
      </c>
      <c r="L46" s="19">
        <f t="shared" si="2"/>
        <v>39.927576516143368</v>
      </c>
      <c r="M46" s="13">
        <f t="shared" si="3"/>
        <v>182.85614794471479</v>
      </c>
      <c r="N46" s="13">
        <f>Inputs!F41</f>
        <v>39</v>
      </c>
      <c r="O46" s="13">
        <f>Inputs!G41</f>
        <v>0</v>
      </c>
      <c r="P46" s="13">
        <f t="shared" si="4"/>
        <v>39</v>
      </c>
      <c r="Q46" s="19">
        <f>N46/(C46/Inputs!$B$5)</f>
        <v>6.2758620689655169</v>
      </c>
      <c r="R46" s="13">
        <f t="shared" si="5"/>
        <v>297.95999999999998</v>
      </c>
      <c r="S46" s="9" t="str">
        <f>IF(P46&lt;M46,"Stockout risk",IF(Q46&gt;Inputs!$B$6,"Overstock","Healthy"))</f>
        <v>Stockout risk</v>
      </c>
      <c r="T46" s="12">
        <f t="shared" si="6"/>
        <v>4.2529410880879628E-4</v>
      </c>
      <c r="U46" s="13">
        <f>IF(S46="Stockout risk",(M46-P46)*E46,IF(S46="Overstock",MAX(0,N46-Inputs!$B$6*C46/Inputs!$B$5)*E46,0))</f>
        <v>1099.060970297621</v>
      </c>
      <c r="V46" s="13">
        <f t="shared" si="7"/>
        <v>1099.060970251621</v>
      </c>
      <c r="W46" s="9">
        <f t="shared" si="8"/>
        <v>14</v>
      </c>
      <c r="X46" s="9" t="str">
        <f>IF(D46/C46&gt;Inputs!$B$7,"High variability","")</f>
        <v/>
      </c>
    </row>
    <row r="47" spans="1:24" x14ac:dyDescent="0.3">
      <c r="A47" s="9" t="str">
        <f>Inputs!A42</f>
        <v>SKU-031</v>
      </c>
      <c r="B47" s="9" t="str">
        <f>Inputs!B42</f>
        <v>C</v>
      </c>
      <c r="C47" s="19">
        <f>Inputs!C42</f>
        <v>27.5</v>
      </c>
      <c r="D47" s="19">
        <f>Inputs!D42</f>
        <v>13</v>
      </c>
      <c r="E47" s="20">
        <f>Inputs!E42</f>
        <v>7.64</v>
      </c>
      <c r="F47" s="12">
        <f>Inputs!J42</f>
        <v>0.9</v>
      </c>
      <c r="G47" s="21">
        <f t="shared" si="0"/>
        <v>1.2815515655446006</v>
      </c>
      <c r="H47" s="22">
        <f>Inputs!H42/Inputs!$B$5</f>
        <v>2</v>
      </c>
      <c r="I47" s="22">
        <f>Inputs!K42</f>
        <v>1</v>
      </c>
      <c r="J47" s="22">
        <f>Inputs!I42/Inputs!$B$5</f>
        <v>0.38571428571428573</v>
      </c>
      <c r="K47" s="19">
        <f t="shared" si="1"/>
        <v>24.889987536996411</v>
      </c>
      <c r="L47" s="19">
        <f t="shared" si="2"/>
        <v>31.897802494423349</v>
      </c>
      <c r="M47" s="13">
        <f t="shared" si="3"/>
        <v>114.39780249442335</v>
      </c>
      <c r="N47" s="13">
        <f>Inputs!F42</f>
        <v>149</v>
      </c>
      <c r="O47" s="13">
        <f>Inputs!G42</f>
        <v>32</v>
      </c>
      <c r="P47" s="13">
        <f t="shared" si="4"/>
        <v>181</v>
      </c>
      <c r="Q47" s="19">
        <f>N47/(C47/Inputs!$B$5)</f>
        <v>37.927272727272729</v>
      </c>
      <c r="R47" s="13">
        <f t="shared" si="5"/>
        <v>1138.3599999999999</v>
      </c>
      <c r="S47" s="9" t="str">
        <f>IF(P47&lt;M47,"Stockout risk",IF(Q47&gt;Inputs!$B$6,"Overstock","Healthy"))</f>
        <v>Healthy</v>
      </c>
      <c r="T47" s="12">
        <f t="shared" si="6"/>
        <v>0.99996211731876561</v>
      </c>
      <c r="U47" s="13">
        <f>IF(S47="Stockout risk",(M47-P47)*E47,IF(S47="Overstock",MAX(0,N47-Inputs!$B$6*C47/Inputs!$B$5)*E47,0))</f>
        <v>0</v>
      </c>
      <c r="V47" s="13">
        <f t="shared" si="7"/>
        <v>-4.7000000000000004E-8</v>
      </c>
      <c r="W47" s="9">
        <f t="shared" si="8"/>
        <v>36</v>
      </c>
      <c r="X47" s="9" t="str">
        <f>IF(D47/C47&gt;Inputs!$B$7,"High variability","")</f>
        <v/>
      </c>
    </row>
    <row r="48" spans="1:24" x14ac:dyDescent="0.3">
      <c r="A48" s="9" t="str">
        <f>Inputs!A43</f>
        <v>SKU-032</v>
      </c>
      <c r="B48" s="9" t="str">
        <f>Inputs!B43</f>
        <v>C</v>
      </c>
      <c r="C48" s="19">
        <f>Inputs!C43</f>
        <v>39.4</v>
      </c>
      <c r="D48" s="19">
        <f>Inputs!D43</f>
        <v>27.8</v>
      </c>
      <c r="E48" s="20">
        <f>Inputs!E43</f>
        <v>8.0500000000000007</v>
      </c>
      <c r="F48" s="12">
        <f>Inputs!J43</f>
        <v>0.9</v>
      </c>
      <c r="G48" s="21">
        <f t="shared" si="0"/>
        <v>1.2815515655446006</v>
      </c>
      <c r="H48" s="22">
        <f>Inputs!H43/Inputs!$B$5</f>
        <v>2.7142857142857144</v>
      </c>
      <c r="I48" s="22">
        <f>Inputs!K43</f>
        <v>1</v>
      </c>
      <c r="J48" s="22">
        <f>Inputs!I43/Inputs!$B$5</f>
        <v>0.48571428571428571</v>
      </c>
      <c r="K48" s="19">
        <f t="shared" si="1"/>
        <v>56.892695560706784</v>
      </c>
      <c r="L48" s="19">
        <f t="shared" si="2"/>
        <v>72.910923063876126</v>
      </c>
      <c r="M48" s="13">
        <f t="shared" si="3"/>
        <v>219.25378020673327</v>
      </c>
      <c r="N48" s="13">
        <f>Inputs!F43</f>
        <v>1021</v>
      </c>
      <c r="O48" s="13">
        <f>Inputs!G43</f>
        <v>5</v>
      </c>
      <c r="P48" s="13">
        <f t="shared" si="4"/>
        <v>1026</v>
      </c>
      <c r="Q48" s="19">
        <f>N48/(C48/Inputs!$B$5)</f>
        <v>181.39593908629442</v>
      </c>
      <c r="R48" s="13">
        <f t="shared" si="5"/>
        <v>8219.0500000000011</v>
      </c>
      <c r="S48" s="9" t="str">
        <f>IF(P48&lt;M48,"Stockout risk",IF(Q48&gt;Inputs!$B$6,"Overstock","Healthy"))</f>
        <v>Overstock</v>
      </c>
      <c r="T48" s="12">
        <f t="shared" si="6"/>
        <v>1</v>
      </c>
      <c r="U48" s="13">
        <f>IF(S48="Stockout risk",(M48-P48)*E48,IF(S48="Overstock",MAX(0,N48-Inputs!$B$6*C48/Inputs!$B$5)*E48,0))</f>
        <v>4141.1500000000005</v>
      </c>
      <c r="V48" s="13">
        <f t="shared" si="7"/>
        <v>4141.1499999520001</v>
      </c>
      <c r="W48" s="9">
        <f t="shared" si="8"/>
        <v>9</v>
      </c>
      <c r="X48" s="9" t="str">
        <f>IF(D48/C48&gt;Inputs!$B$7,"High variability","")</f>
        <v>High variability</v>
      </c>
    </row>
    <row r="49" spans="1:24" x14ac:dyDescent="0.3">
      <c r="A49" s="9" t="str">
        <f>Inputs!A44</f>
        <v>SKU-033</v>
      </c>
      <c r="B49" s="9" t="str">
        <f>Inputs!B44</f>
        <v>C</v>
      </c>
      <c r="C49" s="19">
        <f>Inputs!C44</f>
        <v>20.399999999999999</v>
      </c>
      <c r="D49" s="19">
        <f>Inputs!D44</f>
        <v>9.6999999999999993</v>
      </c>
      <c r="E49" s="20">
        <f>Inputs!E44</f>
        <v>12.58</v>
      </c>
      <c r="F49" s="12">
        <f>Inputs!J44</f>
        <v>0.9</v>
      </c>
      <c r="G49" s="21">
        <f t="shared" si="0"/>
        <v>1.2815515655446006</v>
      </c>
      <c r="H49" s="22">
        <f>Inputs!H44/Inputs!$B$5</f>
        <v>6.4285714285714288</v>
      </c>
      <c r="I49" s="22">
        <f>Inputs!K44</f>
        <v>1</v>
      </c>
      <c r="J49" s="22">
        <f>Inputs!I44/Inputs!$B$5</f>
        <v>0.91428571428571437</v>
      </c>
      <c r="K49" s="19">
        <f t="shared" si="1"/>
        <v>32.354753491092893</v>
      </c>
      <c r="L49" s="19">
        <f t="shared" si="2"/>
        <v>41.464284989319729</v>
      </c>
      <c r="M49" s="13">
        <f t="shared" si="3"/>
        <v>193.00714213217688</v>
      </c>
      <c r="N49" s="13">
        <f>Inputs!F44</f>
        <v>64</v>
      </c>
      <c r="O49" s="13">
        <f>Inputs!G44</f>
        <v>0</v>
      </c>
      <c r="P49" s="13">
        <f t="shared" si="4"/>
        <v>64</v>
      </c>
      <c r="Q49" s="19">
        <f>N49/(C49/Inputs!$B$5)</f>
        <v>21.96078431372549</v>
      </c>
      <c r="R49" s="13">
        <f t="shared" si="5"/>
        <v>805.12</v>
      </c>
      <c r="S49" s="9" t="str">
        <f>IF(P49&lt;M49,"Stockout risk",IF(Q49&gt;Inputs!$B$6,"Overstock","Healthy"))</f>
        <v>Stockout risk</v>
      </c>
      <c r="T49" s="12">
        <f t="shared" si="6"/>
        <v>3.4078390463745467E-3</v>
      </c>
      <c r="U49" s="13">
        <f>IF(S49="Stockout risk",(M49-P49)*E49,IF(S49="Overstock",MAX(0,N49-Inputs!$B$6*C49/Inputs!$B$5)*E49,0))</f>
        <v>1622.9098480227851</v>
      </c>
      <c r="V49" s="13">
        <f t="shared" si="7"/>
        <v>1622.9098479737852</v>
      </c>
      <c r="W49" s="9">
        <f t="shared" si="8"/>
        <v>12</v>
      </c>
      <c r="X49" s="9" t="str">
        <f>IF(D49/C49&gt;Inputs!$B$7,"High variability","")</f>
        <v/>
      </c>
    </row>
    <row r="50" spans="1:24" x14ac:dyDescent="0.3">
      <c r="A50" s="9" t="str">
        <f>Inputs!A45</f>
        <v>SKU-034</v>
      </c>
      <c r="B50" s="9" t="str">
        <f>Inputs!B45</f>
        <v>C</v>
      </c>
      <c r="C50" s="19">
        <f>Inputs!C45</f>
        <v>22.1</v>
      </c>
      <c r="D50" s="19">
        <f>Inputs!D45</f>
        <v>11.3</v>
      </c>
      <c r="E50" s="20">
        <f>Inputs!E45</f>
        <v>3.93</v>
      </c>
      <c r="F50" s="12">
        <f>Inputs!J45</f>
        <v>0.9</v>
      </c>
      <c r="G50" s="21">
        <f t="shared" si="0"/>
        <v>1.2815515655446006</v>
      </c>
      <c r="H50" s="22">
        <f>Inputs!H45/Inputs!$B$5</f>
        <v>7.5714285714285712</v>
      </c>
      <c r="I50" s="22">
        <f>Inputs!K45</f>
        <v>1</v>
      </c>
      <c r="J50" s="22">
        <f>Inputs!I45/Inputs!$B$5</f>
        <v>1.3714285714285714</v>
      </c>
      <c r="K50" s="19">
        <f t="shared" si="1"/>
        <v>44.867529643680307</v>
      </c>
      <c r="L50" s="19">
        <f t="shared" si="2"/>
        <v>57.50005285697727</v>
      </c>
      <c r="M50" s="13">
        <f t="shared" si="3"/>
        <v>246.92862428554872</v>
      </c>
      <c r="N50" s="13">
        <f>Inputs!F45</f>
        <v>43</v>
      </c>
      <c r="O50" s="13">
        <f>Inputs!G45</f>
        <v>0</v>
      </c>
      <c r="P50" s="13">
        <f t="shared" si="4"/>
        <v>43</v>
      </c>
      <c r="Q50" s="19">
        <f>N50/(C50/Inputs!$B$5)</f>
        <v>13.619909502262441</v>
      </c>
      <c r="R50" s="13">
        <f t="shared" si="5"/>
        <v>168.99</v>
      </c>
      <c r="S50" s="9" t="str">
        <f>IF(P50&lt;M50,"Stockout risk",IF(Q50&gt;Inputs!$B$6,"Overstock","Healthy"))</f>
        <v>Stockout risk</v>
      </c>
      <c r="T50" s="12">
        <f t="shared" si="6"/>
        <v>5.5007929490471976E-4</v>
      </c>
      <c r="U50" s="13">
        <f>IF(S50="Stockout risk",(M50-P50)*E50,IF(S50="Overstock",MAX(0,N50-Inputs!$B$6*C50/Inputs!$B$5)*E50,0))</f>
        <v>801.43949344220653</v>
      </c>
      <c r="V50" s="13">
        <f t="shared" si="7"/>
        <v>801.43949339220649</v>
      </c>
      <c r="W50" s="9">
        <f t="shared" si="8"/>
        <v>18</v>
      </c>
      <c r="X50" s="9" t="str">
        <f>IF(D50/C50&gt;Inputs!$B$7,"High variability","")</f>
        <v/>
      </c>
    </row>
    <row r="51" spans="1:24" x14ac:dyDescent="0.3">
      <c r="A51" s="9" t="str">
        <f>Inputs!A46</f>
        <v>SKU-035</v>
      </c>
      <c r="B51" s="9" t="str">
        <f>Inputs!B46</f>
        <v>C</v>
      </c>
      <c r="C51" s="19">
        <f>Inputs!C46</f>
        <v>12.8</v>
      </c>
      <c r="D51" s="19">
        <f>Inputs!D46</f>
        <v>4.4000000000000004</v>
      </c>
      <c r="E51" s="20">
        <f>Inputs!E46</f>
        <v>7.57</v>
      </c>
      <c r="F51" s="12">
        <f>Inputs!J46</f>
        <v>0.9</v>
      </c>
      <c r="G51" s="21">
        <f t="shared" si="0"/>
        <v>1.2815515655446006</v>
      </c>
      <c r="H51" s="22">
        <f>Inputs!H46/Inputs!$B$5</f>
        <v>8</v>
      </c>
      <c r="I51" s="22">
        <f>Inputs!K46</f>
        <v>1</v>
      </c>
      <c r="J51" s="22">
        <f>Inputs!I46/Inputs!$B$5</f>
        <v>0.75714285714285712</v>
      </c>
      <c r="K51" s="19">
        <f t="shared" si="1"/>
        <v>16.375707244424653</v>
      </c>
      <c r="L51" s="19">
        <f t="shared" si="2"/>
        <v>20.986313255992471</v>
      </c>
      <c r="M51" s="13">
        <f t="shared" si="3"/>
        <v>136.18631325599247</v>
      </c>
      <c r="N51" s="13">
        <f>Inputs!F46</f>
        <v>279</v>
      </c>
      <c r="O51" s="13">
        <f>Inputs!G46</f>
        <v>34</v>
      </c>
      <c r="P51" s="13">
        <f t="shared" si="4"/>
        <v>313</v>
      </c>
      <c r="Q51" s="19">
        <f>N51/(C51/Inputs!$B$5)</f>
        <v>152.578125</v>
      </c>
      <c r="R51" s="13">
        <f t="shared" si="5"/>
        <v>2112.0300000000002</v>
      </c>
      <c r="S51" s="9" t="str">
        <f>IF(P51&lt;M51,"Stockout risk",IF(Q51&gt;Inputs!$B$6,"Overstock","Healthy"))</f>
        <v>Overstock</v>
      </c>
      <c r="T51" s="12">
        <f t="shared" si="6"/>
        <v>1</v>
      </c>
      <c r="U51" s="13">
        <f>IF(S51="Stockout risk",(M51-P51)*E51,IF(S51="Overstock",MAX(0,N51-Inputs!$B$6*C51/Inputs!$B$5)*E51,0))</f>
        <v>866.22428571428566</v>
      </c>
      <c r="V51" s="13">
        <f t="shared" si="7"/>
        <v>866.22428566328563</v>
      </c>
      <c r="W51" s="9">
        <f t="shared" si="8"/>
        <v>17</v>
      </c>
      <c r="X51" s="9" t="str">
        <f>IF(D51/C51&gt;Inputs!$B$7,"High variability","")</f>
        <v/>
      </c>
    </row>
    <row r="52" spans="1:24" x14ac:dyDescent="0.3">
      <c r="A52" s="9" t="str">
        <f>Inputs!A47</f>
        <v>SKU-036</v>
      </c>
      <c r="B52" s="9" t="str">
        <f>Inputs!B47</f>
        <v>C</v>
      </c>
      <c r="C52" s="19">
        <f>Inputs!C47</f>
        <v>18.399999999999999</v>
      </c>
      <c r="D52" s="19">
        <f>Inputs!D47</f>
        <v>12.1</v>
      </c>
      <c r="E52" s="20">
        <f>Inputs!E47</f>
        <v>1.81</v>
      </c>
      <c r="F52" s="12">
        <f>Inputs!J47</f>
        <v>0.9</v>
      </c>
      <c r="G52" s="21">
        <f t="shared" si="0"/>
        <v>1.2815515655446006</v>
      </c>
      <c r="H52" s="22">
        <f>Inputs!H47/Inputs!$B$5</f>
        <v>2.1428571428571428</v>
      </c>
      <c r="I52" s="22">
        <f>Inputs!K47</f>
        <v>1</v>
      </c>
      <c r="J52" s="22">
        <f>Inputs!I47/Inputs!$B$5</f>
        <v>0.3</v>
      </c>
      <c r="K52" s="19">
        <f t="shared" si="1"/>
        <v>22.149855852481622</v>
      </c>
      <c r="L52" s="19">
        <f t="shared" si="2"/>
        <v>28.386182444335056</v>
      </c>
      <c r="M52" s="13">
        <f t="shared" si="3"/>
        <v>86.214753872906471</v>
      </c>
      <c r="N52" s="13">
        <f>Inputs!F47</f>
        <v>117</v>
      </c>
      <c r="O52" s="13">
        <f>Inputs!G47</f>
        <v>0</v>
      </c>
      <c r="P52" s="13">
        <f t="shared" si="4"/>
        <v>117</v>
      </c>
      <c r="Q52" s="19">
        <f>N52/(C52/Inputs!$B$5)</f>
        <v>44.510869565217391</v>
      </c>
      <c r="R52" s="13">
        <f t="shared" si="5"/>
        <v>211.77</v>
      </c>
      <c r="S52" s="9" t="str">
        <f>IF(P52&lt;M52,"Stockout risk",IF(Q52&gt;Inputs!$B$6,"Overstock","Healthy"))</f>
        <v>Healthy</v>
      </c>
      <c r="T52" s="12">
        <f t="shared" si="6"/>
        <v>0.99622337549436157</v>
      </c>
      <c r="U52" s="13">
        <f>IF(S52="Stockout risk",(M52-P52)*E52,IF(S52="Overstock",MAX(0,N52-Inputs!$B$6*C52/Inputs!$B$5)*E52,0))</f>
        <v>0</v>
      </c>
      <c r="V52" s="13">
        <f t="shared" si="7"/>
        <v>-5.2000000000000002E-8</v>
      </c>
      <c r="W52" s="9">
        <f t="shared" si="8"/>
        <v>37</v>
      </c>
      <c r="X52" s="9" t="str">
        <f>IF(D52/C52&gt;Inputs!$B$7,"High variability","")</f>
        <v>High variability</v>
      </c>
    </row>
    <row r="53" spans="1:24" x14ac:dyDescent="0.3">
      <c r="A53" s="9" t="str">
        <f>Inputs!A48</f>
        <v>SKU-037</v>
      </c>
      <c r="B53" s="9" t="str">
        <f>Inputs!B48</f>
        <v>C</v>
      </c>
      <c r="C53" s="19">
        <f>Inputs!C48</f>
        <v>55</v>
      </c>
      <c r="D53" s="19">
        <f>Inputs!D48</f>
        <v>26.8</v>
      </c>
      <c r="E53" s="20">
        <f>Inputs!E48</f>
        <v>2.4700000000000002</v>
      </c>
      <c r="F53" s="12">
        <f>Inputs!J48</f>
        <v>0.9</v>
      </c>
      <c r="G53" s="21">
        <f t="shared" si="0"/>
        <v>1.2815515655446006</v>
      </c>
      <c r="H53" s="22">
        <f>Inputs!H48/Inputs!$B$5</f>
        <v>1.1428571428571428</v>
      </c>
      <c r="I53" s="22">
        <f>Inputs!K48</f>
        <v>1</v>
      </c>
      <c r="J53" s="22">
        <f>Inputs!I48/Inputs!$B$5</f>
        <v>0.31428571428571433</v>
      </c>
      <c r="K53" s="19">
        <f t="shared" si="1"/>
        <v>42.870521721260417</v>
      </c>
      <c r="L53" s="19">
        <f t="shared" si="2"/>
        <v>54.940784227595096</v>
      </c>
      <c r="M53" s="13">
        <f t="shared" si="3"/>
        <v>172.79792708473795</v>
      </c>
      <c r="N53" s="13">
        <f>Inputs!F48</f>
        <v>174</v>
      </c>
      <c r="O53" s="13">
        <f>Inputs!G48</f>
        <v>55</v>
      </c>
      <c r="P53" s="13">
        <f t="shared" si="4"/>
        <v>229</v>
      </c>
      <c r="Q53" s="19">
        <f>N53/(C53/Inputs!$B$5)</f>
        <v>22.145454545454548</v>
      </c>
      <c r="R53" s="13">
        <f t="shared" si="5"/>
        <v>429.78000000000003</v>
      </c>
      <c r="S53" s="9" t="str">
        <f>IF(P53&lt;M53,"Stockout risk",IF(Q53&gt;Inputs!$B$6,"Overstock","Healthy"))</f>
        <v>Healthy</v>
      </c>
      <c r="T53" s="12">
        <f t="shared" si="6"/>
        <v>0.99523627354680433</v>
      </c>
      <c r="U53" s="13">
        <f>IF(S53="Stockout risk",(M53-P53)*E53,IF(S53="Overstock",MAX(0,N53-Inputs!$B$6*C53/Inputs!$B$5)*E53,0))</f>
        <v>0</v>
      </c>
      <c r="V53" s="13">
        <f t="shared" si="7"/>
        <v>-5.3000000000000005E-8</v>
      </c>
      <c r="W53" s="9">
        <f t="shared" si="8"/>
        <v>38</v>
      </c>
      <c r="X53" s="9" t="str">
        <f>IF(D53/C53&gt;Inputs!$B$7,"High variability","")</f>
        <v/>
      </c>
    </row>
    <row r="54" spans="1:24" x14ac:dyDescent="0.3">
      <c r="A54" s="9" t="str">
        <f>Inputs!A49</f>
        <v>SKU-038</v>
      </c>
      <c r="B54" s="9" t="str">
        <f>Inputs!B49</f>
        <v>C</v>
      </c>
      <c r="C54" s="19">
        <f>Inputs!C49</f>
        <v>37.9</v>
      </c>
      <c r="D54" s="19">
        <f>Inputs!D49</f>
        <v>26</v>
      </c>
      <c r="E54" s="20">
        <f>Inputs!E49</f>
        <v>9.69</v>
      </c>
      <c r="F54" s="12">
        <f>Inputs!J49</f>
        <v>0.9</v>
      </c>
      <c r="G54" s="21">
        <f t="shared" si="0"/>
        <v>1.2815515655446006</v>
      </c>
      <c r="H54" s="22">
        <f>Inputs!H49/Inputs!$B$5</f>
        <v>4</v>
      </c>
      <c r="I54" s="22">
        <f>Inputs!K49</f>
        <v>1</v>
      </c>
      <c r="J54" s="22">
        <f>Inputs!I49/Inputs!$B$5</f>
        <v>0.67142857142857149</v>
      </c>
      <c r="K54" s="19">
        <f t="shared" si="1"/>
        <v>63.463037112888294</v>
      </c>
      <c r="L54" s="19">
        <f t="shared" si="2"/>
        <v>81.331154566237089</v>
      </c>
      <c r="M54" s="13">
        <f t="shared" si="3"/>
        <v>270.8311545662371</v>
      </c>
      <c r="N54" s="13">
        <f>Inputs!F49</f>
        <v>359</v>
      </c>
      <c r="O54" s="13">
        <f>Inputs!G49</f>
        <v>0</v>
      </c>
      <c r="P54" s="13">
        <f t="shared" si="4"/>
        <v>359</v>
      </c>
      <c r="Q54" s="19">
        <f>N54/(C54/Inputs!$B$5)</f>
        <v>66.306068601583121</v>
      </c>
      <c r="R54" s="13">
        <f t="shared" si="5"/>
        <v>3478.71</v>
      </c>
      <c r="S54" s="9" t="str">
        <f>IF(P54&lt;M54,"Stockout risk",IF(Q54&gt;Inputs!$B$6,"Overstock","Healthy"))</f>
        <v>Healthy</v>
      </c>
      <c r="T54" s="12">
        <f t="shared" si="6"/>
        <v>0.9962169827094951</v>
      </c>
      <c r="U54" s="13">
        <f>IF(S54="Stockout risk",(M54-P54)*E54,IF(S54="Overstock",MAX(0,N54-Inputs!$B$6*C54/Inputs!$B$5)*E54,0))</f>
        <v>0</v>
      </c>
      <c r="V54" s="13">
        <f t="shared" si="7"/>
        <v>-5.4E-8</v>
      </c>
      <c r="W54" s="9">
        <f t="shared" si="8"/>
        <v>39</v>
      </c>
      <c r="X54" s="9" t="str">
        <f>IF(D54/C54&gt;Inputs!$B$7,"High variability","")</f>
        <v>High variability</v>
      </c>
    </row>
    <row r="55" spans="1:24" x14ac:dyDescent="0.3">
      <c r="A55" s="9" t="str">
        <f>Inputs!A50</f>
        <v>SKU-039</v>
      </c>
      <c r="B55" s="9" t="str">
        <f>Inputs!B50</f>
        <v>C</v>
      </c>
      <c r="C55" s="19">
        <f>Inputs!C50</f>
        <v>45.3</v>
      </c>
      <c r="D55" s="19">
        <f>Inputs!D50</f>
        <v>29.9</v>
      </c>
      <c r="E55" s="20">
        <f>Inputs!E50</f>
        <v>5.04</v>
      </c>
      <c r="F55" s="12">
        <f>Inputs!J50</f>
        <v>0.9</v>
      </c>
      <c r="G55" s="21">
        <f t="shared" si="0"/>
        <v>1.2815515655446006</v>
      </c>
      <c r="H55" s="22">
        <f>Inputs!H50/Inputs!$B$5</f>
        <v>7.2857142857142856</v>
      </c>
      <c r="I55" s="22">
        <f>Inputs!K50</f>
        <v>1</v>
      </c>
      <c r="J55" s="22">
        <f>Inputs!I50/Inputs!$B$5</f>
        <v>1.7285714285714284</v>
      </c>
      <c r="K55" s="19">
        <f t="shared" si="1"/>
        <v>116.357520555381</v>
      </c>
      <c r="L55" s="19">
        <f t="shared" si="2"/>
        <v>149.11816263063656</v>
      </c>
      <c r="M55" s="13">
        <f t="shared" si="3"/>
        <v>524.46101977349372</v>
      </c>
      <c r="N55" s="13">
        <f>Inputs!F50</f>
        <v>430</v>
      </c>
      <c r="O55" s="13">
        <f>Inputs!G50</f>
        <v>185</v>
      </c>
      <c r="P55" s="13">
        <f t="shared" si="4"/>
        <v>615</v>
      </c>
      <c r="Q55" s="19">
        <f>N55/(C55/Inputs!$B$5)</f>
        <v>66.445916114790293</v>
      </c>
      <c r="R55" s="13">
        <f t="shared" si="5"/>
        <v>2167.1999999999998</v>
      </c>
      <c r="S55" s="9" t="str">
        <f>IF(P55&lt;M55,"Stockout risk",IF(Q55&gt;Inputs!$B$6,"Overstock","Healthy"))</f>
        <v>Healthy</v>
      </c>
      <c r="T55" s="12">
        <f t="shared" si="6"/>
        <v>0.98028455922182089</v>
      </c>
      <c r="U55" s="13">
        <f>IF(S55="Stockout risk",(M55-P55)*E55,IF(S55="Overstock",MAX(0,N55-Inputs!$B$6*C55/Inputs!$B$5)*E55,0))</f>
        <v>0</v>
      </c>
      <c r="V55" s="13">
        <f t="shared" si="7"/>
        <v>-5.5000000000000003E-8</v>
      </c>
      <c r="W55" s="9">
        <f t="shared" si="8"/>
        <v>40</v>
      </c>
      <c r="X55" s="9" t="str">
        <f>IF(D55/C55&gt;Inputs!$B$7,"High variability","")</f>
        <v>High variability</v>
      </c>
    </row>
    <row r="56" spans="1:24" x14ac:dyDescent="0.3">
      <c r="A56" s="9" t="str">
        <f>Inputs!A51</f>
        <v>SKU-040</v>
      </c>
      <c r="B56" s="9" t="str">
        <f>Inputs!B51</f>
        <v>C</v>
      </c>
      <c r="C56" s="19">
        <f>Inputs!C51</f>
        <v>27.6</v>
      </c>
      <c r="D56" s="19">
        <f>Inputs!D51</f>
        <v>16.7</v>
      </c>
      <c r="E56" s="20">
        <f>Inputs!E51</f>
        <v>12.52</v>
      </c>
      <c r="F56" s="12">
        <f>Inputs!J51</f>
        <v>0.9</v>
      </c>
      <c r="G56" s="21">
        <f t="shared" si="0"/>
        <v>1.2815515655446006</v>
      </c>
      <c r="H56" s="22">
        <f>Inputs!H51/Inputs!$B$5</f>
        <v>6.5714285714285712</v>
      </c>
      <c r="I56" s="22">
        <f>Inputs!K51</f>
        <v>1</v>
      </c>
      <c r="J56" s="22">
        <f>Inputs!I51/Inputs!$B$5</f>
        <v>0.38571428571428573</v>
      </c>
      <c r="K56" s="19">
        <f t="shared" si="1"/>
        <v>47.169131293026538</v>
      </c>
      <c r="L56" s="19">
        <f t="shared" si="2"/>
        <v>60.449674053956969</v>
      </c>
      <c r="M56" s="13">
        <f t="shared" si="3"/>
        <v>269.42110262538557</v>
      </c>
      <c r="N56" s="13">
        <f>Inputs!F51</f>
        <v>255</v>
      </c>
      <c r="O56" s="13">
        <f>Inputs!G51</f>
        <v>0</v>
      </c>
      <c r="P56" s="13">
        <f t="shared" si="4"/>
        <v>255</v>
      </c>
      <c r="Q56" s="19">
        <f>N56/(C56/Inputs!$B$5)</f>
        <v>64.673913043478251</v>
      </c>
      <c r="R56" s="13">
        <f t="shared" si="5"/>
        <v>3192.6</v>
      </c>
      <c r="S56" s="9" t="str">
        <f>IF(P56&lt;M56,"Stockout risk",IF(Q56&gt;Inputs!$B$6,"Overstock","Healthy"))</f>
        <v>Stockout risk</v>
      </c>
      <c r="T56" s="12">
        <f t="shared" si="6"/>
        <v>0.8354231101173224</v>
      </c>
      <c r="U56" s="13">
        <f>IF(S56="Stockout risk",(M56-P56)*E56,IF(S56="Overstock",MAX(0,N56-Inputs!$B$6*C56/Inputs!$B$5)*E56,0))</f>
        <v>180.55220486982736</v>
      </c>
      <c r="V56" s="13">
        <f t="shared" si="7"/>
        <v>180.55220481382736</v>
      </c>
      <c r="W56" s="9">
        <f t="shared" si="8"/>
        <v>22</v>
      </c>
      <c r="X56" s="9" t="str">
        <f>IF(D56/C56&gt;Inputs!$B$7,"High variability","")</f>
        <v>High variability</v>
      </c>
    </row>
  </sheetData>
  <conditionalFormatting sqref="S17:S56">
    <cfRule type="cellIs" dxfId="5" priority="1" operator="equal">
      <formula>"Stockout risk"</formula>
    </cfRule>
    <cfRule type="cellIs" dxfId="4" priority="2" operator="equal">
      <formula>"Overstock"</formula>
    </cfRule>
    <cfRule type="cellIs" dxfId="3" priority="3" operator="equal">
      <formula>"Healthy"</formula>
    </cfRule>
  </conditionalFormatting>
  <pageMargins left="0.75" right="0.75" top="1" bottom="1" header="0.5" footer="0.5"/>
  <pageSetup scale="4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15"/>
  <sheetViews>
    <sheetView workbookViewId="0"/>
  </sheetViews>
  <sheetFormatPr defaultRowHeight="14.4" x14ac:dyDescent="0.3"/>
  <cols>
    <col min="1" max="1" width="6" customWidth="1"/>
    <col min="2" max="2" width="8" customWidth="1"/>
    <col min="3" max="3" width="10" customWidth="1"/>
    <col min="4" max="4" width="7" customWidth="1"/>
    <col min="5" max="5" width="14" customWidth="1"/>
    <col min="6" max="7" width="10" customWidth="1"/>
    <col min="8" max="9" width="11" customWidth="1"/>
    <col min="10" max="10" width="10" customWidth="1"/>
    <col min="11" max="11" width="12" customWidth="1"/>
    <col min="12" max="12" width="17" customWidth="1"/>
    <col min="13" max="13" width="70" customWidth="1"/>
  </cols>
  <sheetData>
    <row r="1" spans="1:13" ht="18" x14ac:dyDescent="0.35">
      <c r="A1" s="1" t="s">
        <v>119</v>
      </c>
    </row>
    <row r="2" spans="1:13" x14ac:dyDescent="0.3">
      <c r="A2" s="2" t="s">
        <v>1</v>
      </c>
    </row>
    <row r="3" spans="1:13" x14ac:dyDescent="0.3">
      <c r="A3" s="7" t="s">
        <v>120</v>
      </c>
    </row>
    <row r="5" spans="1:13" ht="28.8" x14ac:dyDescent="0.3">
      <c r="A5" s="6" t="s">
        <v>117</v>
      </c>
      <c r="B5" s="6" t="s">
        <v>121</v>
      </c>
      <c r="C5" s="6" t="s">
        <v>35</v>
      </c>
      <c r="D5" s="6" t="s">
        <v>99</v>
      </c>
      <c r="E5" s="6" t="s">
        <v>85</v>
      </c>
      <c r="F5" s="6" t="s">
        <v>111</v>
      </c>
      <c r="G5" s="6" t="s">
        <v>112</v>
      </c>
      <c r="H5" s="6" t="s">
        <v>122</v>
      </c>
      <c r="I5" s="6" t="s">
        <v>10</v>
      </c>
      <c r="J5" s="6" t="s">
        <v>114</v>
      </c>
      <c r="K5" s="6" t="s">
        <v>115</v>
      </c>
      <c r="L5" s="6" t="s">
        <v>118</v>
      </c>
      <c r="M5" s="6" t="s">
        <v>123</v>
      </c>
    </row>
    <row r="6" spans="1:13" x14ac:dyDescent="0.3">
      <c r="A6" s="9">
        <v>1</v>
      </c>
      <c r="B6" s="9">
        <f>MATCH(A6,Inventory_Health!$W$17:$W$56,0)</f>
        <v>1</v>
      </c>
      <c r="C6" s="9" t="str">
        <f>INDEX(Inventory_Health!$A$17:$A$56,$B6)</f>
        <v>SKU-001</v>
      </c>
      <c r="D6" s="9" t="str">
        <f>INDEX(Inventory_Health!$B$17:$B$56,$B6)</f>
        <v>A</v>
      </c>
      <c r="E6" s="9" t="str">
        <f>INDEX(Inventory_Health!$S$17:$S$56,$B6)</f>
        <v>Overstock</v>
      </c>
      <c r="F6" s="13">
        <f>INDEX(Inventory_Health!$N$17:$N$56,$B6)</f>
        <v>12672</v>
      </c>
      <c r="G6" s="13">
        <f>INDEX(Inventory_Health!$O$17:$O$56,$B6)</f>
        <v>787</v>
      </c>
      <c r="H6" s="13">
        <f>INDEX(Inventory_Health!$P$17:$P$56,$B6)</f>
        <v>13459</v>
      </c>
      <c r="I6" s="13">
        <f>INDEX(Inventory_Health!$M$17:$M$56,$B6)</f>
        <v>3815.3584807642978</v>
      </c>
      <c r="J6" s="17">
        <f>INDEX(Inventory_Health!$Q$17:$Q$56,$B6)</f>
        <v>174.06593406593407</v>
      </c>
      <c r="K6" s="13">
        <f>INDEX(Inventory_Health!$U$17:$U$56,$B6)</f>
        <v>198043.19999999998</v>
      </c>
      <c r="L6" s="9" t="str">
        <f>INDEX(Inventory_Health!$X$17:$X$56,$B6)</f>
        <v/>
      </c>
      <c r="M6" s="9" t="str">
        <f>IF(E6="Stockout risk",IF(G6&gt;0,"Expedite open order and add ","Place new order of ")&amp;TEXT(ROUNDUP(I6-H6,0),"#,##0")&amp;IF(G6&gt;0," units if gap remains"," units"),IF(E6="Overstock",IF(G6&gt;0,"Cancel/reduce open order; ","")&amp;"pause replenishment until cover &lt; "&amp;Inputs!$B$6&amp;" days","Monitor"))&amp;IF(L6&lt;&gt;""," | Review master data ("&amp;L6&amp;")","")</f>
        <v>Cancel/reduce open order; pause replenishment until cover &lt; 90 days</v>
      </c>
    </row>
    <row r="7" spans="1:13" x14ac:dyDescent="0.3">
      <c r="A7" s="9">
        <v>2</v>
      </c>
      <c r="B7" s="9">
        <f>MATCH(A7,Inventory_Health!$W$17:$W$56,0)</f>
        <v>19</v>
      </c>
      <c r="C7" s="9" t="str">
        <f>INDEX(Inventory_Health!$A$17:$A$56,$B7)</f>
        <v>SKU-019</v>
      </c>
      <c r="D7" s="9" t="str">
        <f>INDEX(Inventory_Health!$B$17:$B$56,$B7)</f>
        <v>B</v>
      </c>
      <c r="E7" s="9" t="str">
        <f>INDEX(Inventory_Health!$S$17:$S$56,$B7)</f>
        <v>Overstock</v>
      </c>
      <c r="F7" s="13">
        <f>INDEX(Inventory_Health!$N$17:$N$56,$B7)</f>
        <v>4644</v>
      </c>
      <c r="G7" s="13">
        <f>INDEX(Inventory_Health!$O$17:$O$56,$B7)</f>
        <v>0</v>
      </c>
      <c r="H7" s="13">
        <f>INDEX(Inventory_Health!$P$17:$P$56,$B7)</f>
        <v>4644</v>
      </c>
      <c r="I7" s="13">
        <f>INDEX(Inventory_Health!$M$17:$M$56,$B7)</f>
        <v>1235.5879265342805</v>
      </c>
      <c r="J7" s="17">
        <f>INDEX(Inventory_Health!$Q$17:$Q$56,$B7)</f>
        <v>183.9728353140917</v>
      </c>
      <c r="K7" s="13">
        <f>INDEX(Inventory_Health!$U$17:$U$56,$B7)</f>
        <v>69954.492857142861</v>
      </c>
      <c r="L7" s="9" t="str">
        <f>INDEX(Inventory_Health!$X$17:$X$56,$B7)</f>
        <v/>
      </c>
      <c r="M7" s="9" t="str">
        <f>IF(E7="Stockout risk",IF(G7&gt;0,"Expedite open order and add ","Place new order of ")&amp;TEXT(ROUNDUP(I7-H7,0),"#,##0")&amp;IF(G7&gt;0," units if gap remains"," units"),IF(E7="Overstock",IF(G7&gt;0,"Cancel/reduce open order; ","")&amp;"pause replenishment until cover &lt; "&amp;Inputs!$B$6&amp;" days","Monitor"))&amp;IF(L7&lt;&gt;""," | Review master data ("&amp;L7&amp;")","")</f>
        <v>pause replenishment until cover &lt; 90 days</v>
      </c>
    </row>
    <row r="8" spans="1:13" x14ac:dyDescent="0.3">
      <c r="A8" s="9">
        <v>3</v>
      </c>
      <c r="B8" s="9">
        <f>MATCH(A8,Inventory_Health!$W$17:$W$56,0)</f>
        <v>15</v>
      </c>
      <c r="C8" s="9" t="str">
        <f>INDEX(Inventory_Health!$A$17:$A$56,$B8)</f>
        <v>SKU-015</v>
      </c>
      <c r="D8" s="9" t="str">
        <f>INDEX(Inventory_Health!$B$17:$B$56,$B8)</f>
        <v>B</v>
      </c>
      <c r="E8" s="9" t="str">
        <f>INDEX(Inventory_Health!$S$17:$S$56,$B8)</f>
        <v>Overstock</v>
      </c>
      <c r="F8" s="13">
        <f>INDEX(Inventory_Health!$N$17:$N$56,$B8)</f>
        <v>4488</v>
      </c>
      <c r="G8" s="13">
        <f>INDEX(Inventory_Health!$O$17:$O$56,$B8)</f>
        <v>0</v>
      </c>
      <c r="H8" s="13">
        <f>INDEX(Inventory_Health!$P$17:$P$56,$B8)</f>
        <v>4488</v>
      </c>
      <c r="I8" s="13">
        <f>INDEX(Inventory_Health!$M$17:$M$56,$B8)</f>
        <v>1080.6841175200623</v>
      </c>
      <c r="J8" s="17">
        <f>INDEX(Inventory_Health!$Q$17:$Q$56,$B8)</f>
        <v>228.14814814814815</v>
      </c>
      <c r="K8" s="13">
        <f>INDEX(Inventory_Health!$U$17:$U$56,$B8)</f>
        <v>54079.671428571433</v>
      </c>
      <c r="L8" s="9" t="str">
        <f>INDEX(Inventory_Health!$X$17:$X$56,$B8)</f>
        <v/>
      </c>
      <c r="M8" s="9" t="str">
        <f>IF(E8="Stockout risk",IF(G8&gt;0,"Expedite open order and add ","Place new order of ")&amp;TEXT(ROUNDUP(I8-H8,0),"#,##0")&amp;IF(G8&gt;0," units if gap remains"," units"),IF(E8="Overstock",IF(G8&gt;0,"Cancel/reduce open order; ","")&amp;"pause replenishment until cover &lt; "&amp;Inputs!$B$6&amp;" days","Monitor"))&amp;IF(L8&lt;&gt;""," | Review master data ("&amp;L8&amp;")","")</f>
        <v>pause replenishment until cover &lt; 90 days</v>
      </c>
    </row>
    <row r="9" spans="1:13" x14ac:dyDescent="0.3">
      <c r="A9" s="9">
        <v>4</v>
      </c>
      <c r="B9" s="9">
        <f>MATCH(A9,Inventory_Health!$W$17:$W$56,0)</f>
        <v>2</v>
      </c>
      <c r="C9" s="9" t="str">
        <f>INDEX(Inventory_Health!$A$17:$A$56,$B9)</f>
        <v>SKU-002</v>
      </c>
      <c r="D9" s="9" t="str">
        <f>INDEX(Inventory_Health!$B$17:$B$56,$B9)</f>
        <v>A</v>
      </c>
      <c r="E9" s="9" t="str">
        <f>INDEX(Inventory_Health!$S$17:$S$56,$B9)</f>
        <v>Stockout risk</v>
      </c>
      <c r="F9" s="13">
        <f>INDEX(Inventory_Health!$N$17:$N$56,$B9)</f>
        <v>212</v>
      </c>
      <c r="G9" s="13">
        <f>INDEX(Inventory_Health!$O$17:$O$56,$B9)</f>
        <v>0</v>
      </c>
      <c r="H9" s="13">
        <f>INDEX(Inventory_Health!$P$17:$P$56,$B9)</f>
        <v>212</v>
      </c>
      <c r="I9" s="13">
        <f>INDEX(Inventory_Health!$M$17:$M$56,$B9)</f>
        <v>1344.4567516046532</v>
      </c>
      <c r="J9" s="17">
        <f>INDEX(Inventory_Health!$Q$17:$Q$56,$B9)</f>
        <v>6.5809312638580932</v>
      </c>
      <c r="K9" s="13">
        <f>INDEX(Inventory_Health!$U$17:$U$56,$B9)</f>
        <v>41425.26797369821</v>
      </c>
      <c r="L9" s="9" t="str">
        <f>INDEX(Inventory_Health!$X$17:$X$56,$B9)</f>
        <v/>
      </c>
      <c r="M9" s="9" t="str">
        <f>IF(E9="Stockout risk",IF(G9&gt;0,"Expedite open order and add ","Place new order of ")&amp;TEXT(ROUNDUP(I9-H9,0),"#,##0")&amp;IF(G9&gt;0," units if gap remains"," units"),IF(E9="Overstock",IF(G9&gt;0,"Cancel/reduce open order; ","")&amp;"pause replenishment until cover &lt; "&amp;Inputs!$B$6&amp;" days","Monitor"))&amp;IF(L9&lt;&gt;""," | Review master data ("&amp;L9&amp;")","")</f>
        <v>Place new order of 1,133 units</v>
      </c>
    </row>
    <row r="10" spans="1:13" x14ac:dyDescent="0.3">
      <c r="A10" s="9">
        <v>5</v>
      </c>
      <c r="B10" s="9">
        <f>MATCH(A10,Inventory_Health!$W$17:$W$56,0)</f>
        <v>4</v>
      </c>
      <c r="C10" s="9" t="str">
        <f>INDEX(Inventory_Health!$A$17:$A$56,$B10)</f>
        <v>SKU-004</v>
      </c>
      <c r="D10" s="9" t="str">
        <f>INDEX(Inventory_Health!$B$17:$B$56,$B10)</f>
        <v>A</v>
      </c>
      <c r="E10" s="9" t="str">
        <f>INDEX(Inventory_Health!$S$17:$S$56,$B10)</f>
        <v>Stockout risk</v>
      </c>
      <c r="F10" s="13">
        <f>INDEX(Inventory_Health!$N$17:$N$56,$B10)</f>
        <v>643</v>
      </c>
      <c r="G10" s="13">
        <f>INDEX(Inventory_Health!$O$17:$O$56,$B10)</f>
        <v>0</v>
      </c>
      <c r="H10" s="13">
        <f>INDEX(Inventory_Health!$P$17:$P$56,$B10)</f>
        <v>643</v>
      </c>
      <c r="I10" s="13">
        <f>INDEX(Inventory_Health!$M$17:$M$56,$B10)</f>
        <v>1850.490003425343</v>
      </c>
      <c r="J10" s="17">
        <f>INDEX(Inventory_Health!$Q$17:$Q$56,$B10)</f>
        <v>17.588901914810474</v>
      </c>
      <c r="K10" s="13">
        <f>INDEX(Inventory_Health!$U$17:$U$56,$B10)</f>
        <v>39823.020312967812</v>
      </c>
      <c r="L10" s="9" t="str">
        <f>INDEX(Inventory_Health!$X$17:$X$56,$B10)</f>
        <v/>
      </c>
      <c r="M10" s="9" t="str">
        <f>IF(E10="Stockout risk",IF(G10&gt;0,"Expedite open order and add ","Place new order of ")&amp;TEXT(ROUNDUP(I10-H10,0),"#,##0")&amp;IF(G10&gt;0," units if gap remains"," units"),IF(E10="Overstock",IF(G10&gt;0,"Cancel/reduce open order; ","")&amp;"pause replenishment until cover &lt; "&amp;Inputs!$B$6&amp;" days","Monitor"))&amp;IF(L10&lt;&gt;""," | Review master data ("&amp;L10&amp;")","")</f>
        <v>Place new order of 1,208 units</v>
      </c>
    </row>
    <row r="11" spans="1:13" x14ac:dyDescent="0.3">
      <c r="A11" s="9">
        <v>6</v>
      </c>
      <c r="B11" s="9">
        <f>MATCH(A11,Inventory_Health!$W$17:$W$56,0)</f>
        <v>6</v>
      </c>
      <c r="C11" s="9" t="str">
        <f>INDEX(Inventory_Health!$A$17:$A$56,$B11)</f>
        <v>SKU-006</v>
      </c>
      <c r="D11" s="9" t="str">
        <f>INDEX(Inventory_Health!$B$17:$B$56,$B11)</f>
        <v>A</v>
      </c>
      <c r="E11" s="9" t="str">
        <f>INDEX(Inventory_Health!$S$17:$S$56,$B11)</f>
        <v>Stockout risk</v>
      </c>
      <c r="F11" s="13">
        <f>INDEX(Inventory_Health!$N$17:$N$56,$B11)</f>
        <v>802</v>
      </c>
      <c r="G11" s="13">
        <f>INDEX(Inventory_Health!$O$17:$O$56,$B11)</f>
        <v>545</v>
      </c>
      <c r="H11" s="13">
        <f>INDEX(Inventory_Health!$P$17:$P$56,$B11)</f>
        <v>1347</v>
      </c>
      <c r="I11" s="13">
        <f>INDEX(Inventory_Health!$M$17:$M$56,$B11)</f>
        <v>2266.9830330086961</v>
      </c>
      <c r="J11" s="17">
        <f>INDEX(Inventory_Health!$Q$17:$Q$56,$B11)</f>
        <v>12.054971011380719</v>
      </c>
      <c r="K11" s="13">
        <f>INDEX(Inventory_Health!$U$17:$U$56,$B11)</f>
        <v>28629.871987230625</v>
      </c>
      <c r="L11" s="9" t="str">
        <f>INDEX(Inventory_Health!$X$17:$X$56,$B11)</f>
        <v/>
      </c>
      <c r="M11" s="9" t="str">
        <f>IF(E11="Stockout risk",IF(G11&gt;0,"Expedite open order and add ","Place new order of ")&amp;TEXT(ROUNDUP(I11-H11,0),"#,##0")&amp;IF(G11&gt;0," units if gap remains"," units"),IF(E11="Overstock",IF(G11&gt;0,"Cancel/reduce open order; ","")&amp;"pause replenishment until cover &lt; "&amp;Inputs!$B$6&amp;" days","Monitor"))&amp;IF(L11&lt;&gt;""," | Review master data ("&amp;L11&amp;")","")</f>
        <v>Expedite open order and add 920 units if gap remains</v>
      </c>
    </row>
    <row r="12" spans="1:13" x14ac:dyDescent="0.3">
      <c r="A12" s="9">
        <v>7</v>
      </c>
      <c r="B12" s="9">
        <f>MATCH(A12,Inventory_Health!$W$17:$W$56,0)</f>
        <v>11</v>
      </c>
      <c r="C12" s="9" t="str">
        <f>INDEX(Inventory_Health!$A$17:$A$56,$B12)</f>
        <v>SKU-011</v>
      </c>
      <c r="D12" s="9" t="str">
        <f>INDEX(Inventory_Health!$B$17:$B$56,$B12)</f>
        <v>B</v>
      </c>
      <c r="E12" s="9" t="str">
        <f>INDEX(Inventory_Health!$S$17:$S$56,$B12)</f>
        <v>Overstock</v>
      </c>
      <c r="F12" s="13">
        <f>INDEX(Inventory_Health!$N$17:$N$56,$B12)</f>
        <v>1611</v>
      </c>
      <c r="G12" s="13">
        <f>INDEX(Inventory_Health!$O$17:$O$56,$B12)</f>
        <v>0</v>
      </c>
      <c r="H12" s="13">
        <f>INDEX(Inventory_Health!$P$17:$P$56,$B12)</f>
        <v>1611</v>
      </c>
      <c r="I12" s="13">
        <f>INDEX(Inventory_Health!$M$17:$M$56,$B12)</f>
        <v>480.33648722041403</v>
      </c>
      <c r="J12" s="17">
        <f>INDEX(Inventory_Health!$Q$17:$Q$56,$B12)</f>
        <v>172.96012269938649</v>
      </c>
      <c r="K12" s="13">
        <f>INDEX(Inventory_Health!$U$17:$U$56,$B12)</f>
        <v>22269.625714285714</v>
      </c>
      <c r="L12" s="9" t="str">
        <f>INDEX(Inventory_Health!$X$17:$X$56,$B12)</f>
        <v/>
      </c>
      <c r="M12" s="9" t="str">
        <f>IF(E12="Stockout risk",IF(G12&gt;0,"Expedite open order and add ","Place new order of ")&amp;TEXT(ROUNDUP(I12-H12,0),"#,##0")&amp;IF(G12&gt;0," units if gap remains"," units"),IF(E12="Overstock",IF(G12&gt;0,"Cancel/reduce open order; ","")&amp;"pause replenishment until cover &lt; "&amp;Inputs!$B$6&amp;" days","Monitor"))&amp;IF(L12&lt;&gt;""," | Review master data ("&amp;L12&amp;")","")</f>
        <v>pause replenishment until cover &lt; 90 days</v>
      </c>
    </row>
    <row r="13" spans="1:13" x14ac:dyDescent="0.3">
      <c r="A13" s="9">
        <v>8</v>
      </c>
      <c r="B13" s="9">
        <f>MATCH(A13,Inventory_Health!$W$17:$W$56,0)</f>
        <v>17</v>
      </c>
      <c r="C13" s="9" t="str">
        <f>INDEX(Inventory_Health!$A$17:$A$56,$B13)</f>
        <v>SKU-017</v>
      </c>
      <c r="D13" s="9" t="str">
        <f>INDEX(Inventory_Health!$B$17:$B$56,$B13)</f>
        <v>B</v>
      </c>
      <c r="E13" s="9" t="str">
        <f>INDEX(Inventory_Health!$S$17:$S$56,$B13)</f>
        <v>Stockout risk</v>
      </c>
      <c r="F13" s="13">
        <f>INDEX(Inventory_Health!$N$17:$N$56,$B13)</f>
        <v>35</v>
      </c>
      <c r="G13" s="13">
        <f>INDEX(Inventory_Health!$O$17:$O$56,$B13)</f>
        <v>64</v>
      </c>
      <c r="H13" s="13">
        <f>INDEX(Inventory_Health!$P$17:$P$56,$B13)</f>
        <v>99</v>
      </c>
      <c r="I13" s="13">
        <f>INDEX(Inventory_Health!$M$17:$M$56,$B13)</f>
        <v>302.71273259346742</v>
      </c>
      <c r="J13" s="17">
        <f>INDEX(Inventory_Health!$Q$17:$Q$56,$B13)</f>
        <v>3.535353535353535</v>
      </c>
      <c r="K13" s="13">
        <f>INDEX(Inventory_Health!$U$17:$U$56,$B13)</f>
        <v>5708.0307672689569</v>
      </c>
      <c r="L13" s="9" t="str">
        <f>INDEX(Inventory_Health!$X$17:$X$56,$B13)</f>
        <v/>
      </c>
      <c r="M13" s="9" t="str">
        <f>IF(E13="Stockout risk",IF(G13&gt;0,"Expedite open order and add ","Place new order of ")&amp;TEXT(ROUNDUP(I13-H13,0),"#,##0")&amp;IF(G13&gt;0," units if gap remains"," units"),IF(E13="Overstock",IF(G13&gt;0,"Cancel/reduce open order; ","")&amp;"pause replenishment until cover &lt; "&amp;Inputs!$B$6&amp;" days","Monitor"))&amp;IF(L13&lt;&gt;""," | Review master data ("&amp;L13&amp;")","")</f>
        <v>Expedite open order and add 204 units if gap remains</v>
      </c>
    </row>
    <row r="14" spans="1:13" x14ac:dyDescent="0.3">
      <c r="A14" s="9">
        <v>9</v>
      </c>
      <c r="B14" s="9">
        <f>MATCH(A14,Inventory_Health!$W$17:$W$56,0)</f>
        <v>32</v>
      </c>
      <c r="C14" s="9" t="str">
        <f>INDEX(Inventory_Health!$A$17:$A$56,$B14)</f>
        <v>SKU-032</v>
      </c>
      <c r="D14" s="9" t="str">
        <f>INDEX(Inventory_Health!$B$17:$B$56,$B14)</f>
        <v>C</v>
      </c>
      <c r="E14" s="9" t="str">
        <f>INDEX(Inventory_Health!$S$17:$S$56,$B14)</f>
        <v>Overstock</v>
      </c>
      <c r="F14" s="13">
        <f>INDEX(Inventory_Health!$N$17:$N$56,$B14)</f>
        <v>1021</v>
      </c>
      <c r="G14" s="13">
        <f>INDEX(Inventory_Health!$O$17:$O$56,$B14)</f>
        <v>5</v>
      </c>
      <c r="H14" s="13">
        <f>INDEX(Inventory_Health!$P$17:$P$56,$B14)</f>
        <v>1026</v>
      </c>
      <c r="I14" s="13">
        <f>INDEX(Inventory_Health!$M$17:$M$56,$B14)</f>
        <v>219.25378020673327</v>
      </c>
      <c r="J14" s="17">
        <f>INDEX(Inventory_Health!$Q$17:$Q$56,$B14)</f>
        <v>181.39593908629442</v>
      </c>
      <c r="K14" s="13">
        <f>INDEX(Inventory_Health!$U$17:$U$56,$B14)</f>
        <v>4141.1500000000005</v>
      </c>
      <c r="L14" s="9" t="str">
        <f>INDEX(Inventory_Health!$X$17:$X$56,$B14)</f>
        <v>High variability</v>
      </c>
      <c r="M14" s="9" t="str">
        <f>IF(E14="Stockout risk",IF(G14&gt;0,"Expedite open order and add ","Place new order of ")&amp;TEXT(ROUNDUP(I14-H14,0),"#,##0")&amp;IF(G14&gt;0," units if gap remains"," units"),IF(E14="Overstock",IF(G14&gt;0,"Cancel/reduce open order; ","")&amp;"pause replenishment until cover &lt; "&amp;Inputs!$B$6&amp;" days","Monitor"))&amp;IF(L14&lt;&gt;""," | Review master data ("&amp;L14&amp;")","")</f>
        <v>Cancel/reduce open order; pause replenishment until cover &lt; 90 days | Review master data (High variability)</v>
      </c>
    </row>
    <row r="15" spans="1:13" x14ac:dyDescent="0.3">
      <c r="A15" s="9">
        <v>10</v>
      </c>
      <c r="B15" s="9">
        <f>MATCH(A15,Inventory_Health!$W$17:$W$56,0)</f>
        <v>26</v>
      </c>
      <c r="C15" s="9" t="str">
        <f>INDEX(Inventory_Health!$A$17:$A$56,$B15)</f>
        <v>SKU-026</v>
      </c>
      <c r="D15" s="9" t="str">
        <f>INDEX(Inventory_Health!$B$17:$B$56,$B15)</f>
        <v>C</v>
      </c>
      <c r="E15" s="9" t="str">
        <f>INDEX(Inventory_Health!$S$17:$S$56,$B15)</f>
        <v>Overstock</v>
      </c>
      <c r="F15" s="13">
        <f>INDEX(Inventory_Health!$N$17:$N$56,$B15)</f>
        <v>989</v>
      </c>
      <c r="G15" s="13">
        <f>INDEX(Inventory_Health!$O$17:$O$56,$B15)</f>
        <v>0</v>
      </c>
      <c r="H15" s="13">
        <f>INDEX(Inventory_Health!$P$17:$P$56,$B15)</f>
        <v>989</v>
      </c>
      <c r="I15" s="13">
        <f>INDEX(Inventory_Health!$M$17:$M$56,$B15)</f>
        <v>261.10497703599219</v>
      </c>
      <c r="J15" s="17">
        <f>INDEX(Inventory_Health!$Q$17:$Q$56,$B15)</f>
        <v>124.73873873873873</v>
      </c>
      <c r="K15" s="13">
        <f>INDEX(Inventory_Health!$U$17:$U$56,$B15)</f>
        <v>3503.451428571429</v>
      </c>
      <c r="L15" s="9" t="str">
        <f>INDEX(Inventory_Health!$X$17:$X$56,$B15)</f>
        <v>High variability</v>
      </c>
      <c r="M15" s="9" t="str">
        <f>IF(E15="Stockout risk",IF(G15&gt;0,"Expedite open order and add ","Place new order of ")&amp;TEXT(ROUNDUP(I15-H15,0),"#,##0")&amp;IF(G15&gt;0," units if gap remains"," units"),IF(E15="Overstock",IF(G15&gt;0,"Cancel/reduce open order; ","")&amp;"pause replenishment until cover &lt; "&amp;Inputs!$B$6&amp;" days","Monitor"))&amp;IF(L15&lt;&gt;""," | Review master data ("&amp;L15&amp;")","")</f>
        <v>pause replenishment until cover &lt; 90 days | Review master data (High variability)</v>
      </c>
    </row>
  </sheetData>
  <conditionalFormatting sqref="E6:E15">
    <cfRule type="cellIs" dxfId="2" priority="1" operator="equal">
      <formula>"Stockout risk"</formula>
    </cfRule>
    <cfRule type="cellIs" dxfId="1" priority="2" operator="equal">
      <formula>"Overstock"</formula>
    </cfRule>
  </conditionalFormatting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X205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7" width="16" customWidth="1"/>
    <col min="8" max="12" width="11" customWidth="1"/>
    <col min="13" max="13" width="18" customWidth="1"/>
    <col min="14" max="19" width="11" customWidth="1"/>
    <col min="20" max="20" width="3" customWidth="1"/>
    <col min="21" max="21" width="34" customWidth="1"/>
    <col min="22" max="22" width="14" customWidth="1"/>
    <col min="23" max="23" width="12" customWidth="1"/>
    <col min="24" max="24" width="14" customWidth="1"/>
  </cols>
  <sheetData>
    <row r="1" spans="1:24" ht="18" x14ac:dyDescent="0.35">
      <c r="A1" s="1" t="s">
        <v>124</v>
      </c>
    </row>
    <row r="2" spans="1:24" x14ac:dyDescent="0.3">
      <c r="A2" s="2" t="s">
        <v>1</v>
      </c>
    </row>
    <row r="3" spans="1:24" x14ac:dyDescent="0.3">
      <c r="A3" s="7" t="s">
        <v>125</v>
      </c>
    </row>
    <row r="4" spans="1:24" x14ac:dyDescent="0.3">
      <c r="U4" s="5" t="s">
        <v>126</v>
      </c>
    </row>
    <row r="5" spans="1:24" ht="45" customHeight="1" x14ac:dyDescent="0.3">
      <c r="A5" s="6" t="s">
        <v>127</v>
      </c>
      <c r="B5" s="6" t="s">
        <v>128</v>
      </c>
      <c r="C5" s="6" t="s">
        <v>129</v>
      </c>
      <c r="D5" s="6" t="s">
        <v>130</v>
      </c>
      <c r="E5" s="6" t="s">
        <v>131</v>
      </c>
      <c r="F5" s="6" t="s">
        <v>132</v>
      </c>
      <c r="G5" s="6" t="s">
        <v>133</v>
      </c>
      <c r="H5" s="6" t="s">
        <v>134</v>
      </c>
      <c r="I5" s="6" t="s">
        <v>135</v>
      </c>
      <c r="J5" s="6" t="s">
        <v>136</v>
      </c>
      <c r="K5" s="6" t="s">
        <v>137</v>
      </c>
      <c r="L5" s="6" t="s">
        <v>138</v>
      </c>
      <c r="M5" s="6" t="s">
        <v>139</v>
      </c>
      <c r="N5" s="6" t="s">
        <v>140</v>
      </c>
      <c r="O5" s="6" t="s">
        <v>141</v>
      </c>
      <c r="P5" s="6" t="s">
        <v>142</v>
      </c>
      <c r="Q5" s="6" t="s">
        <v>143</v>
      </c>
      <c r="R5" s="6" t="s">
        <v>144</v>
      </c>
      <c r="S5" s="6" t="s">
        <v>145</v>
      </c>
      <c r="U5" s="6" t="s">
        <v>146</v>
      </c>
      <c r="V5" s="6" t="s">
        <v>147</v>
      </c>
      <c r="W5" s="6" t="s">
        <v>148</v>
      </c>
      <c r="X5" s="6" t="s">
        <v>149</v>
      </c>
    </row>
    <row r="6" spans="1:24" x14ac:dyDescent="0.3">
      <c r="A6" t="s">
        <v>150</v>
      </c>
      <c r="B6" s="23">
        <v>46083.319444444453</v>
      </c>
      <c r="C6" s="23">
        <v>46083.598611111112</v>
      </c>
      <c r="D6" s="23">
        <v>46084.740277777782</v>
      </c>
      <c r="E6" s="23">
        <v>46085.472916666673</v>
      </c>
      <c r="F6" s="23">
        <v>46085.772916666669</v>
      </c>
      <c r="G6" s="23">
        <v>46085.904861111107</v>
      </c>
      <c r="H6" s="24">
        <f t="shared" ref="H6:H37" si="0">IF(OR(B6="",C6=""),"",(C6-B6)*24)</f>
        <v>6.6999999998370185</v>
      </c>
      <c r="I6" s="24">
        <f t="shared" ref="I6:I37" si="1">IF(OR(C6="",D6=""),"",(D6-C6)*24)</f>
        <v>27.400000000081491</v>
      </c>
      <c r="J6" s="24">
        <f t="shared" ref="J6:J37" si="2">IF(OR(D6="",E6=""),"",(E6-D6)*24)</f>
        <v>17.583333333372138</v>
      </c>
      <c r="K6" s="24">
        <f t="shared" ref="K6:K37" si="3">IF(OR(E6="",F6=""),"",(F6-E6)*24)</f>
        <v>7.1999999998952262</v>
      </c>
      <c r="L6" s="24">
        <f t="shared" ref="L6:L37" si="4">IF(OR(F6="",G6=""),"",(G6-F6)*24)</f>
        <v>3.1666666665114462</v>
      </c>
      <c r="M6" t="str">
        <f t="shared" ref="M6:M37" si="5">IF(COUNT(B6:G6)&lt;6,"Missing timestamp",IF(MIN(H6:L6)&lt;0,"Negative duration","OK"))</f>
        <v>OK</v>
      </c>
      <c r="N6" s="24">
        <f t="shared" ref="N6:N37" si="6">IF($M6="OK",H6,"")</f>
        <v>6.6999999998370185</v>
      </c>
      <c r="O6" s="24">
        <f t="shared" ref="O6:O37" si="7">IF($M6="OK",I6,"")</f>
        <v>27.400000000081491</v>
      </c>
      <c r="P6" s="24">
        <f t="shared" ref="P6:P37" si="8">IF($M6="OK",J6,"")</f>
        <v>17.583333333372138</v>
      </c>
      <c r="Q6" s="24">
        <f t="shared" ref="Q6:Q37" si="9">IF($M6="OK",K6,"")</f>
        <v>7.1999999998952262</v>
      </c>
      <c r="R6" s="24">
        <f t="shared" ref="R6:R37" si="10">IF($M6="OK",L6,"")</f>
        <v>3.1666666665114462</v>
      </c>
      <c r="S6" s="24">
        <f t="shared" ref="S6:S37" si="11">IF(M6="OK",SUM(N6:R6),"")</f>
        <v>62.04999999969732</v>
      </c>
      <c r="U6" s="9" t="s">
        <v>151</v>
      </c>
      <c r="V6" s="17">
        <f>AVERAGE($N$6:$N$205)</f>
        <v>5.9069230769259429</v>
      </c>
      <c r="W6" s="17">
        <f>PERCENTILE($N$6:$N$205,0.9)</f>
        <v>9.0166666666860689</v>
      </c>
      <c r="X6" s="12">
        <f>V6/$V$11</f>
        <v>0.1065073163966305</v>
      </c>
    </row>
    <row r="7" spans="1:24" x14ac:dyDescent="0.3">
      <c r="A7" t="s">
        <v>152</v>
      </c>
      <c r="B7" s="23">
        <v>46084.113194444442</v>
      </c>
      <c r="C7" s="23">
        <v>46084.361805555563</v>
      </c>
      <c r="D7" s="23">
        <v>46085.368055555547</v>
      </c>
      <c r="E7" s="23">
        <v>46086.393750000003</v>
      </c>
      <c r="F7" s="23">
        <v>46086.574999999997</v>
      </c>
      <c r="G7" s="23">
        <v>46086.628472222219</v>
      </c>
      <c r="H7" s="24">
        <f t="shared" si="0"/>
        <v>5.9666666669072583</v>
      </c>
      <c r="I7" s="24">
        <f t="shared" si="1"/>
        <v>24.149999999615829</v>
      </c>
      <c r="J7" s="24">
        <f t="shared" si="2"/>
        <v>24.616666666930541</v>
      </c>
      <c r="K7" s="24">
        <f t="shared" si="3"/>
        <v>4.3499999998603016</v>
      </c>
      <c r="L7" s="24">
        <f t="shared" si="4"/>
        <v>1.2833333333255723</v>
      </c>
      <c r="M7" t="str">
        <f t="shared" si="5"/>
        <v>OK</v>
      </c>
      <c r="N7" s="24">
        <f t="shared" si="6"/>
        <v>5.9666666669072583</v>
      </c>
      <c r="O7" s="24">
        <f t="shared" si="7"/>
        <v>24.149999999615829</v>
      </c>
      <c r="P7" s="24">
        <f t="shared" si="8"/>
        <v>24.616666666930541</v>
      </c>
      <c r="Q7" s="24">
        <f t="shared" si="9"/>
        <v>4.3499999998603016</v>
      </c>
      <c r="R7" s="24">
        <f t="shared" si="10"/>
        <v>1.2833333333255723</v>
      </c>
      <c r="S7" s="24">
        <f t="shared" si="11"/>
        <v>60.366666666639503</v>
      </c>
      <c r="U7" s="9" t="s">
        <v>153</v>
      </c>
      <c r="V7" s="17">
        <f>AVERAGE($O$6:$O$205)</f>
        <v>20.176153846155817</v>
      </c>
      <c r="W7" s="17">
        <f>PERCENTILE($O$6:$O$205,0.9)</f>
        <v>27.366666666709353</v>
      </c>
      <c r="X7" s="12">
        <f>V7/$V$11</f>
        <v>0.3637948172634638</v>
      </c>
    </row>
    <row r="8" spans="1:24" x14ac:dyDescent="0.3">
      <c r="A8" t="s">
        <v>154</v>
      </c>
      <c r="B8" s="23">
        <v>46084.247916666667</v>
      </c>
      <c r="C8" s="23">
        <v>46084.477777777778</v>
      </c>
      <c r="D8" s="23">
        <v>46085.756944444453</v>
      </c>
      <c r="E8" s="23">
        <v>46086.594444444447</v>
      </c>
      <c r="F8" s="23">
        <v>46087.105555555558</v>
      </c>
      <c r="G8" s="23">
        <v>46087.286805555559</v>
      </c>
      <c r="H8" s="24">
        <f t="shared" si="0"/>
        <v>5.5166666666627862</v>
      </c>
      <c r="I8" s="24">
        <f t="shared" si="1"/>
        <v>30.700000000186265</v>
      </c>
      <c r="J8" s="24">
        <f t="shared" si="2"/>
        <v>20.099999999860302</v>
      </c>
      <c r="K8" s="24">
        <f t="shared" si="3"/>
        <v>12.266666666662786</v>
      </c>
      <c r="L8" s="24">
        <f t="shared" si="4"/>
        <v>4.3500000000349246</v>
      </c>
      <c r="M8" t="str">
        <f t="shared" si="5"/>
        <v>OK</v>
      </c>
      <c r="N8" s="24">
        <f t="shared" si="6"/>
        <v>5.5166666666627862</v>
      </c>
      <c r="O8" s="24">
        <f t="shared" si="7"/>
        <v>30.700000000186265</v>
      </c>
      <c r="P8" s="24">
        <f t="shared" si="8"/>
        <v>20.099999999860302</v>
      </c>
      <c r="Q8" s="24">
        <f t="shared" si="9"/>
        <v>12.266666666662786</v>
      </c>
      <c r="R8" s="24">
        <f t="shared" si="10"/>
        <v>4.3500000000349246</v>
      </c>
      <c r="S8" s="24">
        <f t="shared" si="11"/>
        <v>72.933333333407063</v>
      </c>
      <c r="U8" s="9" t="s">
        <v>155</v>
      </c>
      <c r="V8" s="17">
        <f>AVERAGE($P$6:$P$205)</f>
        <v>17.673504273502981</v>
      </c>
      <c r="W8" s="17">
        <f>PERCENTILE($P$6:$P$205,0.9)</f>
        <v>33.866666666767557</v>
      </c>
      <c r="X8" s="12">
        <f>V8/$V$11</f>
        <v>0.31866971805476635</v>
      </c>
    </row>
    <row r="9" spans="1:24" x14ac:dyDescent="0.3">
      <c r="A9" t="s">
        <v>156</v>
      </c>
      <c r="B9" s="23">
        <v>46084.390972222223</v>
      </c>
      <c r="C9" s="23">
        <v>46084.848611111112</v>
      </c>
      <c r="D9" s="23">
        <v>46085.543749999997</v>
      </c>
      <c r="E9" s="23">
        <v>46086.262499999997</v>
      </c>
      <c r="F9" s="23">
        <v>46086.78402777778</v>
      </c>
      <c r="G9" s="23">
        <v>46086.895138888889</v>
      </c>
      <c r="H9" s="24">
        <f t="shared" si="0"/>
        <v>10.983333333337214</v>
      </c>
      <c r="I9" s="24">
        <f t="shared" si="1"/>
        <v>16.68333333323244</v>
      </c>
      <c r="J9" s="24">
        <f t="shared" si="2"/>
        <v>17.25</v>
      </c>
      <c r="K9" s="24">
        <f t="shared" si="3"/>
        <v>12.516666666779201</v>
      </c>
      <c r="L9" s="24">
        <f t="shared" si="4"/>
        <v>2.6666666666278616</v>
      </c>
      <c r="M9" t="str">
        <f t="shared" si="5"/>
        <v>OK</v>
      </c>
      <c r="N9" s="24">
        <f t="shared" si="6"/>
        <v>10.983333333337214</v>
      </c>
      <c r="O9" s="24">
        <f t="shared" si="7"/>
        <v>16.68333333323244</v>
      </c>
      <c r="P9" s="24">
        <f t="shared" si="8"/>
        <v>17.25</v>
      </c>
      <c r="Q9" s="24">
        <f t="shared" si="9"/>
        <v>12.516666666779201</v>
      </c>
      <c r="R9" s="24">
        <f t="shared" si="10"/>
        <v>2.6666666666278616</v>
      </c>
      <c r="S9" s="24">
        <f t="shared" si="11"/>
        <v>60.099999999976717</v>
      </c>
      <c r="U9" s="9" t="s">
        <v>157</v>
      </c>
      <c r="V9" s="17">
        <f>AVERAGE($Q$6:$Q$205)</f>
        <v>8.7366666666581292</v>
      </c>
      <c r="W9" s="17">
        <f>PERCENTILE($Q$6:$Q$205,0.9)</f>
        <v>13.513333333376794</v>
      </c>
      <c r="X9" s="12">
        <f>V9/$V$11</f>
        <v>0.15753022492412569</v>
      </c>
    </row>
    <row r="10" spans="1:24" x14ac:dyDescent="0.3">
      <c r="A10" t="s">
        <v>158</v>
      </c>
      <c r="B10" s="23">
        <v>46084.493055555547</v>
      </c>
      <c r="C10" s="23">
        <v>46084.90625</v>
      </c>
      <c r="D10" s="23">
        <v>46086.618055555547</v>
      </c>
      <c r="E10" s="23">
        <v>46087.084722222222</v>
      </c>
      <c r="F10" s="23">
        <v>46087.244444444441</v>
      </c>
      <c r="G10" s="23">
        <v>46087.35</v>
      </c>
      <c r="H10" s="24">
        <f t="shared" si="0"/>
        <v>9.9166666668606922</v>
      </c>
      <c r="I10" s="24">
        <f t="shared" si="1"/>
        <v>41.083333333139308</v>
      </c>
      <c r="J10" s="24">
        <f t="shared" si="2"/>
        <v>11.200000000186265</v>
      </c>
      <c r="K10" s="24">
        <f t="shared" si="3"/>
        <v>3.8333333332557231</v>
      </c>
      <c r="L10" s="24">
        <f t="shared" si="4"/>
        <v>2.53333333338378</v>
      </c>
      <c r="M10" t="str">
        <f t="shared" si="5"/>
        <v>OK</v>
      </c>
      <c r="N10" s="24">
        <f t="shared" si="6"/>
        <v>9.9166666668606922</v>
      </c>
      <c r="O10" s="24">
        <f t="shared" si="7"/>
        <v>41.083333333139308</v>
      </c>
      <c r="P10" s="24">
        <f t="shared" si="8"/>
        <v>11.200000000186265</v>
      </c>
      <c r="Q10" s="24">
        <f t="shared" si="9"/>
        <v>3.8333333332557231</v>
      </c>
      <c r="R10" s="24">
        <f t="shared" si="10"/>
        <v>2.53333333338378</v>
      </c>
      <c r="S10" s="24">
        <f t="shared" si="11"/>
        <v>68.566666666825768</v>
      </c>
      <c r="U10" s="9" t="s">
        <v>159</v>
      </c>
      <c r="V10" s="17">
        <f>AVERAGE($R$6:$R$205)</f>
        <v>2.9670085470183181</v>
      </c>
      <c r="W10" s="17">
        <f>PERCENTILE($R$6:$R$205,0.9)</f>
        <v>4.4266666666720988</v>
      </c>
      <c r="X10" s="12">
        <f>V10/$V$11</f>
        <v>5.3497923361013631E-2</v>
      </c>
    </row>
    <row r="11" spans="1:24" x14ac:dyDescent="0.3">
      <c r="A11" t="s">
        <v>160</v>
      </c>
      <c r="B11" s="23">
        <v>46084.571527777778</v>
      </c>
      <c r="C11" s="23">
        <v>46084.772916666669</v>
      </c>
      <c r="D11" s="23">
        <v>46085.101388888892</v>
      </c>
      <c r="E11" s="23">
        <v>46085.371527777781</v>
      </c>
      <c r="F11" s="23">
        <v>46085.913194444453</v>
      </c>
      <c r="G11" s="23">
        <v>46086.006249999999</v>
      </c>
      <c r="H11" s="24">
        <f t="shared" si="0"/>
        <v>4.8333333333721384</v>
      </c>
      <c r="I11" s="24">
        <f t="shared" si="1"/>
        <v>7.8833333333604969</v>
      </c>
      <c r="J11" s="24">
        <f t="shared" si="2"/>
        <v>6.4833333333372138</v>
      </c>
      <c r="K11" s="24">
        <f t="shared" si="3"/>
        <v>13.000000000116415</v>
      </c>
      <c r="L11" s="24">
        <f t="shared" si="4"/>
        <v>2.2333333331043832</v>
      </c>
      <c r="M11" t="str">
        <f t="shared" si="5"/>
        <v>OK</v>
      </c>
      <c r="N11" s="24">
        <f t="shared" si="6"/>
        <v>4.8333333333721384</v>
      </c>
      <c r="O11" s="24">
        <f t="shared" si="7"/>
        <v>7.8833333333604969</v>
      </c>
      <c r="P11" s="24">
        <f t="shared" si="8"/>
        <v>6.4833333333372138</v>
      </c>
      <c r="Q11" s="24">
        <f t="shared" si="9"/>
        <v>13.000000000116415</v>
      </c>
      <c r="R11" s="24">
        <f t="shared" si="10"/>
        <v>2.2333333331043832</v>
      </c>
      <c r="S11" s="24">
        <f t="shared" si="11"/>
        <v>34.433333333290648</v>
      </c>
      <c r="U11" s="14" t="s">
        <v>161</v>
      </c>
      <c r="V11" s="25">
        <f>AVERAGE($S$6:$S$205)</f>
        <v>55.460256410261188</v>
      </c>
      <c r="W11" s="25">
        <f>PERCENTILE($S$6:$S$205,0.9)</f>
        <v>73.863333333400064</v>
      </c>
      <c r="X11" s="15">
        <f>SUM(X6:X10)</f>
        <v>1</v>
      </c>
    </row>
    <row r="12" spans="1:24" x14ac:dyDescent="0.3">
      <c r="A12" t="s">
        <v>162</v>
      </c>
      <c r="B12" s="23">
        <v>46084.727083333331</v>
      </c>
      <c r="C12" s="23">
        <v>46084.984027777777</v>
      </c>
      <c r="D12" s="23">
        <v>46085.668749999997</v>
      </c>
      <c r="E12" s="23">
        <v>46086.072222222218</v>
      </c>
      <c r="F12" s="23">
        <v>46086.464583333327</v>
      </c>
      <c r="G12" s="23">
        <v>46086.566666666673</v>
      </c>
      <c r="H12" s="24">
        <f t="shared" si="0"/>
        <v>6.1666666666860692</v>
      </c>
      <c r="I12" s="24">
        <f t="shared" si="1"/>
        <v>16.433333333290648</v>
      </c>
      <c r="J12" s="24">
        <f t="shared" si="2"/>
        <v>9.6833333332906477</v>
      </c>
      <c r="K12" s="24">
        <f t="shared" si="3"/>
        <v>9.4166666666278616</v>
      </c>
      <c r="L12" s="24">
        <f t="shared" si="4"/>
        <v>2.4500000003026798</v>
      </c>
      <c r="M12" t="str">
        <f t="shared" si="5"/>
        <v>OK</v>
      </c>
      <c r="N12" s="24">
        <f t="shared" si="6"/>
        <v>6.1666666666860692</v>
      </c>
      <c r="O12" s="24">
        <f t="shared" si="7"/>
        <v>16.433333333290648</v>
      </c>
      <c r="P12" s="24">
        <f t="shared" si="8"/>
        <v>9.6833333332906477</v>
      </c>
      <c r="Q12" s="24">
        <f t="shared" si="9"/>
        <v>9.4166666666278616</v>
      </c>
      <c r="R12" s="24">
        <f t="shared" si="10"/>
        <v>2.4500000003026798</v>
      </c>
      <c r="S12" s="24">
        <f t="shared" si="11"/>
        <v>44.150000000197906</v>
      </c>
    </row>
    <row r="13" spans="1:24" x14ac:dyDescent="0.3">
      <c r="A13" t="s">
        <v>163</v>
      </c>
      <c r="B13" s="23">
        <v>46084.94027777778</v>
      </c>
      <c r="C13" s="23">
        <v>46085.334722222222</v>
      </c>
      <c r="D13" s="23">
        <v>46086.699305555558</v>
      </c>
      <c r="E13" s="23">
        <v>46088.126388888893</v>
      </c>
      <c r="F13" s="23">
        <v>46088.457638888889</v>
      </c>
      <c r="G13" s="23">
        <v>46088.59097222222</v>
      </c>
      <c r="H13" s="24">
        <f t="shared" si="0"/>
        <v>9.46666666661622</v>
      </c>
      <c r="I13" s="24">
        <f t="shared" si="1"/>
        <v>32.750000000058208</v>
      </c>
      <c r="J13" s="24">
        <f t="shared" si="2"/>
        <v>34.250000000058208</v>
      </c>
      <c r="K13" s="24">
        <f t="shared" si="3"/>
        <v>7.9499999998952262</v>
      </c>
      <c r="L13" s="24">
        <f t="shared" si="4"/>
        <v>3.1999999999534339</v>
      </c>
      <c r="M13" t="str">
        <f t="shared" si="5"/>
        <v>OK</v>
      </c>
      <c r="N13" s="24">
        <f t="shared" si="6"/>
        <v>9.46666666661622</v>
      </c>
      <c r="O13" s="24">
        <f t="shared" si="7"/>
        <v>32.750000000058208</v>
      </c>
      <c r="P13" s="24">
        <f t="shared" si="8"/>
        <v>34.250000000058208</v>
      </c>
      <c r="Q13" s="24">
        <f t="shared" si="9"/>
        <v>7.9499999998952262</v>
      </c>
      <c r="R13" s="24">
        <f t="shared" si="10"/>
        <v>3.1999999999534339</v>
      </c>
      <c r="S13" s="24">
        <f t="shared" si="11"/>
        <v>87.616666666581295</v>
      </c>
      <c r="U13" t="s">
        <v>164</v>
      </c>
      <c r="V13" s="5" t="str">
        <f>INDEX(U6:U10,MATCH(MAX(V6:V10),V6:V10,0))</f>
        <v>Assembly</v>
      </c>
    </row>
    <row r="14" spans="1:24" x14ac:dyDescent="0.3">
      <c r="A14" t="s">
        <v>165</v>
      </c>
      <c r="B14" s="23">
        <v>46085.095138888893</v>
      </c>
      <c r="C14" s="23">
        <v>46085.345833333333</v>
      </c>
      <c r="D14" s="23">
        <v>46086.40902777778</v>
      </c>
      <c r="E14" s="23">
        <v>46087.134027777778</v>
      </c>
      <c r="F14" s="23">
        <v>46087.410416666673</v>
      </c>
      <c r="G14" s="23">
        <v>46087.560416666667</v>
      </c>
      <c r="H14" s="24">
        <f t="shared" si="0"/>
        <v>6.0166666665463708</v>
      </c>
      <c r="I14" s="24">
        <f t="shared" si="1"/>
        <v>25.516666666720994</v>
      </c>
      <c r="J14" s="24">
        <f t="shared" si="2"/>
        <v>17.399999999965075</v>
      </c>
      <c r="K14" s="24">
        <f t="shared" si="3"/>
        <v>6.6333333334769122</v>
      </c>
      <c r="L14" s="24">
        <f t="shared" si="4"/>
        <v>3.5999999998603016</v>
      </c>
      <c r="M14" t="str">
        <f t="shared" si="5"/>
        <v>OK</v>
      </c>
      <c r="N14" s="24">
        <f t="shared" si="6"/>
        <v>6.0166666665463708</v>
      </c>
      <c r="O14" s="24">
        <f t="shared" si="7"/>
        <v>25.516666666720994</v>
      </c>
      <c r="P14" s="24">
        <f t="shared" si="8"/>
        <v>17.399999999965075</v>
      </c>
      <c r="Q14" s="24">
        <f t="shared" si="9"/>
        <v>6.6333333334769122</v>
      </c>
      <c r="R14" s="24">
        <f t="shared" si="10"/>
        <v>3.5999999998603016</v>
      </c>
      <c r="S14" s="24">
        <f t="shared" si="11"/>
        <v>59.166666666569654</v>
      </c>
      <c r="U14" t="s">
        <v>166</v>
      </c>
      <c r="V14" s="5" t="str">
        <f>INDEX(U6:U10,MATCH(MAX(W6:W10),W6:W10,0))</f>
        <v>Test</v>
      </c>
    </row>
    <row r="15" spans="1:24" x14ac:dyDescent="0.3">
      <c r="A15" t="s">
        <v>167</v>
      </c>
      <c r="B15" s="23">
        <v>46085.245138888888</v>
      </c>
      <c r="C15" s="23">
        <v>46085.40902777778</v>
      </c>
      <c r="D15" s="23">
        <v>46086.192361111112</v>
      </c>
      <c r="E15" s="23">
        <v>46087.393055555563</v>
      </c>
      <c r="F15" s="23">
        <v>46087.627083333333</v>
      </c>
      <c r="G15" s="23">
        <v>46087.712500000001</v>
      </c>
      <c r="H15" s="24">
        <f t="shared" si="0"/>
        <v>3.933333333407063</v>
      </c>
      <c r="I15" s="24">
        <f t="shared" si="1"/>
        <v>18.799999999988358</v>
      </c>
      <c r="J15" s="24">
        <f t="shared" si="2"/>
        <v>28.816666666825768</v>
      </c>
      <c r="K15" s="24">
        <f t="shared" si="3"/>
        <v>5.6166666664648801</v>
      </c>
      <c r="L15" s="24">
        <f t="shared" si="4"/>
        <v>2.0500000000465661</v>
      </c>
      <c r="M15" t="str">
        <f t="shared" si="5"/>
        <v>OK</v>
      </c>
      <c r="N15" s="24">
        <f t="shared" si="6"/>
        <v>3.933333333407063</v>
      </c>
      <c r="O15" s="24">
        <f t="shared" si="7"/>
        <v>18.799999999988358</v>
      </c>
      <c r="P15" s="24">
        <f t="shared" si="8"/>
        <v>28.816666666825768</v>
      </c>
      <c r="Q15" s="24">
        <f t="shared" si="9"/>
        <v>5.6166666664648801</v>
      </c>
      <c r="R15" s="24">
        <f t="shared" si="10"/>
        <v>2.0500000000465661</v>
      </c>
      <c r="S15" s="24">
        <f t="shared" si="11"/>
        <v>59.216666666732635</v>
      </c>
      <c r="U15" t="s">
        <v>168</v>
      </c>
      <c r="V15" s="26">
        <f>MAX(V6:V10)</f>
        <v>20.176153846155817</v>
      </c>
    </row>
    <row r="16" spans="1:24" x14ac:dyDescent="0.3">
      <c r="A16" t="s">
        <v>169</v>
      </c>
      <c r="B16" s="23">
        <v>46085.390277777777</v>
      </c>
      <c r="C16" s="23">
        <v>46085.676388888889</v>
      </c>
      <c r="D16" s="23">
        <v>46086.421527777777</v>
      </c>
      <c r="E16" s="23">
        <v>46087.34652777778</v>
      </c>
      <c r="F16" s="23">
        <v>46087.690972222219</v>
      </c>
      <c r="G16" s="23">
        <v>46087.84097222222</v>
      </c>
      <c r="H16" s="24">
        <f t="shared" si="0"/>
        <v>6.8666666666977108</v>
      </c>
      <c r="I16" s="24">
        <f t="shared" si="1"/>
        <v>17.883333333302289</v>
      </c>
      <c r="J16" s="24">
        <f t="shared" si="2"/>
        <v>22.200000000069849</v>
      </c>
      <c r="K16" s="24">
        <f t="shared" si="3"/>
        <v>8.2666666665463708</v>
      </c>
      <c r="L16" s="24">
        <f t="shared" si="4"/>
        <v>3.6000000000349246</v>
      </c>
      <c r="M16" t="str">
        <f t="shared" si="5"/>
        <v>OK</v>
      </c>
      <c r="N16" s="24">
        <f t="shared" si="6"/>
        <v>6.8666666666977108</v>
      </c>
      <c r="O16" s="24">
        <f t="shared" si="7"/>
        <v>17.883333333302289</v>
      </c>
      <c r="P16" s="24">
        <f t="shared" si="8"/>
        <v>22.200000000069849</v>
      </c>
      <c r="Q16" s="24">
        <f t="shared" si="9"/>
        <v>8.2666666665463708</v>
      </c>
      <c r="R16" s="24">
        <f t="shared" si="10"/>
        <v>3.6000000000349246</v>
      </c>
      <c r="S16" s="24">
        <f t="shared" si="11"/>
        <v>58.816666666651145</v>
      </c>
    </row>
    <row r="17" spans="1:22" x14ac:dyDescent="0.3">
      <c r="A17" t="s">
        <v>170</v>
      </c>
      <c r="B17" s="23">
        <v>46085.457638888889</v>
      </c>
      <c r="C17" s="23">
        <v>46085.647916666669</v>
      </c>
      <c r="D17" s="23">
        <v>46086.943055555559</v>
      </c>
      <c r="E17" s="23">
        <v>46087.712500000001</v>
      </c>
      <c r="F17" s="23">
        <v>46088.029861111107</v>
      </c>
      <c r="G17" s="23">
        <v>46088.208333333343</v>
      </c>
      <c r="H17" s="24">
        <f t="shared" si="0"/>
        <v>4.5666666667093523</v>
      </c>
      <c r="I17" s="24">
        <f t="shared" si="1"/>
        <v>31.083333333372138</v>
      </c>
      <c r="J17" s="24">
        <f t="shared" si="2"/>
        <v>18.46666666661622</v>
      </c>
      <c r="K17" s="24">
        <f t="shared" si="3"/>
        <v>7.6166666665230878</v>
      </c>
      <c r="L17" s="24">
        <f t="shared" si="4"/>
        <v>4.2833333336748183</v>
      </c>
      <c r="M17" t="str">
        <f t="shared" si="5"/>
        <v>OK</v>
      </c>
      <c r="N17" s="24">
        <f t="shared" si="6"/>
        <v>4.5666666667093523</v>
      </c>
      <c r="O17" s="24">
        <f t="shared" si="7"/>
        <v>31.083333333372138</v>
      </c>
      <c r="P17" s="24">
        <f t="shared" si="8"/>
        <v>18.46666666661622</v>
      </c>
      <c r="Q17" s="24">
        <f t="shared" si="9"/>
        <v>7.6166666665230878</v>
      </c>
      <c r="R17" s="24">
        <f t="shared" si="10"/>
        <v>4.2833333336748183</v>
      </c>
      <c r="S17" s="24">
        <f t="shared" si="11"/>
        <v>66.016666666895617</v>
      </c>
      <c r="U17" s="5" t="s">
        <v>171</v>
      </c>
    </row>
    <row r="18" spans="1:22" x14ac:dyDescent="0.3">
      <c r="A18" t="s">
        <v>172</v>
      </c>
      <c r="B18" s="23">
        <v>46085.747916666667</v>
      </c>
      <c r="C18" s="23">
        <v>46085.910416666673</v>
      </c>
      <c r="D18" s="23">
        <v>46086.445833333331</v>
      </c>
      <c r="E18" s="23">
        <v>46086.888194444437</v>
      </c>
      <c r="F18" s="23">
        <v>46087.29791666667</v>
      </c>
      <c r="G18" s="23">
        <v>46087.411111111112</v>
      </c>
      <c r="H18" s="24">
        <f t="shared" si="0"/>
        <v>3.9000000001396984</v>
      </c>
      <c r="I18" s="24">
        <f t="shared" si="1"/>
        <v>12.849999999802094</v>
      </c>
      <c r="J18" s="24">
        <f t="shared" si="2"/>
        <v>10.616666666523088</v>
      </c>
      <c r="K18" s="24">
        <f t="shared" si="3"/>
        <v>9.8333333336049691</v>
      </c>
      <c r="L18" s="24">
        <f t="shared" si="4"/>
        <v>2.71666666661622</v>
      </c>
      <c r="M18" t="str">
        <f t="shared" si="5"/>
        <v>OK</v>
      </c>
      <c r="N18" s="24">
        <f t="shared" si="6"/>
        <v>3.9000000001396984</v>
      </c>
      <c r="O18" s="24">
        <f t="shared" si="7"/>
        <v>12.849999999802094</v>
      </c>
      <c r="P18" s="24">
        <f t="shared" si="8"/>
        <v>10.616666666523088</v>
      </c>
      <c r="Q18" s="24">
        <f t="shared" si="9"/>
        <v>9.8333333336049691</v>
      </c>
      <c r="R18" s="24">
        <f t="shared" si="10"/>
        <v>2.71666666661622</v>
      </c>
      <c r="S18" s="24">
        <f t="shared" si="11"/>
        <v>39.916666666686069</v>
      </c>
      <c r="U18" t="s">
        <v>173</v>
      </c>
      <c r="V18" s="9">
        <f>COUNTA($A$6:$A$205)</f>
        <v>200</v>
      </c>
    </row>
    <row r="19" spans="1:22" x14ac:dyDescent="0.3">
      <c r="A19" t="s">
        <v>174</v>
      </c>
      <c r="B19" s="23">
        <v>46085.867361111108</v>
      </c>
      <c r="C19" s="23">
        <v>46086.05972222222</v>
      </c>
      <c r="D19" s="23">
        <v>46087.002083333333</v>
      </c>
      <c r="E19" s="23">
        <v>46087.879166666673</v>
      </c>
      <c r="F19" s="23">
        <v>46088.156944444447</v>
      </c>
      <c r="G19" s="23">
        <v>46088.236111111109</v>
      </c>
      <c r="H19" s="24">
        <f t="shared" si="0"/>
        <v>4.6166666666977108</v>
      </c>
      <c r="I19" s="24">
        <f t="shared" si="1"/>
        <v>22.616666666697711</v>
      </c>
      <c r="J19" s="24">
        <f t="shared" si="2"/>
        <v>21.050000000162981</v>
      </c>
      <c r="K19" s="24">
        <f t="shared" si="3"/>
        <v>6.6666666665696539</v>
      </c>
      <c r="L19" s="24">
        <f t="shared" si="4"/>
        <v>1.8999999999068677</v>
      </c>
      <c r="M19" t="str">
        <f t="shared" si="5"/>
        <v>OK</v>
      </c>
      <c r="N19" s="24">
        <f t="shared" si="6"/>
        <v>4.6166666666977108</v>
      </c>
      <c r="O19" s="24">
        <f t="shared" si="7"/>
        <v>22.616666666697711</v>
      </c>
      <c r="P19" s="24">
        <f t="shared" si="8"/>
        <v>21.050000000162981</v>
      </c>
      <c r="Q19" s="24">
        <f t="shared" si="9"/>
        <v>6.6666666665696539</v>
      </c>
      <c r="R19" s="24">
        <f t="shared" si="10"/>
        <v>1.8999999999068677</v>
      </c>
      <c r="S19" s="24">
        <f t="shared" si="11"/>
        <v>56.850000000034925</v>
      </c>
      <c r="U19" t="s">
        <v>175</v>
      </c>
      <c r="V19" s="9">
        <f>COUNTIF($M$6:$M$205,"OK")</f>
        <v>195</v>
      </c>
    </row>
    <row r="20" spans="1:22" x14ac:dyDescent="0.3">
      <c r="A20" t="s">
        <v>176</v>
      </c>
      <c r="B20" s="23">
        <v>46085.943055555559</v>
      </c>
      <c r="C20" s="23">
        <v>46086.299305555563</v>
      </c>
      <c r="D20" s="23">
        <v>46087.145833333343</v>
      </c>
      <c r="E20" s="23">
        <v>46087.584722222222</v>
      </c>
      <c r="F20" s="23">
        <v>46088.004861111112</v>
      </c>
      <c r="G20" s="23">
        <v>46088.102777777778</v>
      </c>
      <c r="H20" s="24">
        <f t="shared" si="0"/>
        <v>8.5500000001047738</v>
      </c>
      <c r="I20" s="24">
        <f t="shared" si="1"/>
        <v>20.316666666709352</v>
      </c>
      <c r="J20" s="24">
        <f t="shared" si="2"/>
        <v>10.533333333092742</v>
      </c>
      <c r="K20" s="24">
        <f t="shared" si="3"/>
        <v>10.083333333372138</v>
      </c>
      <c r="L20" s="24">
        <f t="shared" si="4"/>
        <v>2.3499999999767169</v>
      </c>
      <c r="M20" t="str">
        <f t="shared" si="5"/>
        <v>OK</v>
      </c>
      <c r="N20" s="24">
        <f t="shared" si="6"/>
        <v>8.5500000001047738</v>
      </c>
      <c r="O20" s="24">
        <f t="shared" si="7"/>
        <v>20.316666666709352</v>
      </c>
      <c r="P20" s="24">
        <f t="shared" si="8"/>
        <v>10.533333333092742</v>
      </c>
      <c r="Q20" s="24">
        <f t="shared" si="9"/>
        <v>10.083333333372138</v>
      </c>
      <c r="R20" s="24">
        <f t="shared" si="10"/>
        <v>2.3499999999767169</v>
      </c>
      <c r="S20" s="24">
        <f t="shared" si="11"/>
        <v>51.833333333255723</v>
      </c>
      <c r="U20" t="s">
        <v>177</v>
      </c>
      <c r="V20" s="9">
        <f>COUNTIF($M$6:$M$205,"Missing timestamp")</f>
        <v>3</v>
      </c>
    </row>
    <row r="21" spans="1:22" x14ac:dyDescent="0.3">
      <c r="A21" t="s">
        <v>178</v>
      </c>
      <c r="B21" s="23">
        <v>46086.640277777777</v>
      </c>
      <c r="C21" s="23">
        <v>46086.914583333331</v>
      </c>
      <c r="D21" s="23">
        <v>46087.595138888893</v>
      </c>
      <c r="E21" s="23">
        <v>46087.905555555553</v>
      </c>
      <c r="F21" s="23">
        <v>46088.777777777781</v>
      </c>
      <c r="G21" s="23">
        <v>46088.909722222219</v>
      </c>
      <c r="H21" s="24">
        <f t="shared" si="0"/>
        <v>6.5833333333139308</v>
      </c>
      <c r="I21" s="24">
        <f t="shared" si="1"/>
        <v>16.333333333488554</v>
      </c>
      <c r="J21" s="24">
        <f t="shared" si="2"/>
        <v>7.4499999998370185</v>
      </c>
      <c r="K21" s="24">
        <f t="shared" si="3"/>
        <v>20.933333333465271</v>
      </c>
      <c r="L21" s="24">
        <f t="shared" si="4"/>
        <v>3.1666666665114462</v>
      </c>
      <c r="M21" t="str">
        <f t="shared" si="5"/>
        <v>OK</v>
      </c>
      <c r="N21" s="24">
        <f t="shared" si="6"/>
        <v>6.5833333333139308</v>
      </c>
      <c r="O21" s="24">
        <f t="shared" si="7"/>
        <v>16.333333333488554</v>
      </c>
      <c r="P21" s="24">
        <f t="shared" si="8"/>
        <v>7.4499999998370185</v>
      </c>
      <c r="Q21" s="24">
        <f t="shared" si="9"/>
        <v>20.933333333465271</v>
      </c>
      <c r="R21" s="24">
        <f t="shared" si="10"/>
        <v>3.1666666665114462</v>
      </c>
      <c r="S21" s="24">
        <f t="shared" si="11"/>
        <v>54.46666666661622</v>
      </c>
      <c r="U21" t="s">
        <v>179</v>
      </c>
      <c r="V21" s="9">
        <f>COUNTIF($M$6:$M$205,"Negative duration")</f>
        <v>2</v>
      </c>
    </row>
    <row r="22" spans="1:22" x14ac:dyDescent="0.3">
      <c r="A22" t="s">
        <v>180</v>
      </c>
      <c r="B22" s="23">
        <v>46086.902777777781</v>
      </c>
      <c r="C22" s="23">
        <v>46087.252083333333</v>
      </c>
      <c r="D22" s="23">
        <v>46088.415972222218</v>
      </c>
      <c r="E22" s="23">
        <v>46088.656944444447</v>
      </c>
      <c r="F22" s="23">
        <v>46088.962500000001</v>
      </c>
      <c r="G22" s="23">
        <v>46089.151388888888</v>
      </c>
      <c r="H22" s="24">
        <f t="shared" si="0"/>
        <v>8.3833333332440816</v>
      </c>
      <c r="I22" s="24">
        <f t="shared" si="1"/>
        <v>27.93333333323244</v>
      </c>
      <c r="J22" s="24">
        <f t="shared" si="2"/>
        <v>5.7833333335001953</v>
      </c>
      <c r="K22" s="24">
        <f t="shared" si="3"/>
        <v>7.3333333333139308</v>
      </c>
      <c r="L22" s="24">
        <f t="shared" si="4"/>
        <v>4.5333333332673647</v>
      </c>
      <c r="M22" t="str">
        <f t="shared" si="5"/>
        <v>OK</v>
      </c>
      <c r="N22" s="24">
        <f t="shared" si="6"/>
        <v>8.3833333332440816</v>
      </c>
      <c r="O22" s="24">
        <f t="shared" si="7"/>
        <v>27.93333333323244</v>
      </c>
      <c r="P22" s="24">
        <f t="shared" si="8"/>
        <v>5.7833333335001953</v>
      </c>
      <c r="Q22" s="24">
        <f t="shared" si="9"/>
        <v>7.3333333333139308</v>
      </c>
      <c r="R22" s="24">
        <f t="shared" si="10"/>
        <v>4.5333333332673647</v>
      </c>
      <c r="S22" s="24">
        <f t="shared" si="11"/>
        <v>53.966666666558012</v>
      </c>
      <c r="U22" t="s">
        <v>181</v>
      </c>
      <c r="V22" s="12">
        <f>V19/V18</f>
        <v>0.97499999999999998</v>
      </c>
    </row>
    <row r="23" spans="1:22" x14ac:dyDescent="0.3">
      <c r="A23" t="s">
        <v>182</v>
      </c>
      <c r="B23" s="23">
        <v>46087.285416666673</v>
      </c>
      <c r="C23" s="23">
        <v>46087.46597222222</v>
      </c>
      <c r="D23" s="23">
        <v>46088.208333333343</v>
      </c>
      <c r="E23" s="23">
        <v>46088.74722222222</v>
      </c>
      <c r="F23" s="23">
        <v>46089.057638888888</v>
      </c>
      <c r="G23" s="23">
        <v>46089.276388888888</v>
      </c>
      <c r="H23" s="24">
        <f t="shared" si="0"/>
        <v>4.3333333331393078</v>
      </c>
      <c r="I23" s="24">
        <f t="shared" si="1"/>
        <v>17.816666666942183</v>
      </c>
      <c r="J23" s="24">
        <f t="shared" si="2"/>
        <v>12.933333333057817</v>
      </c>
      <c r="K23" s="24">
        <f t="shared" si="3"/>
        <v>7.4500000000116415</v>
      </c>
      <c r="L23" s="24">
        <f t="shared" si="4"/>
        <v>5.25</v>
      </c>
      <c r="M23" t="str">
        <f t="shared" si="5"/>
        <v>OK</v>
      </c>
      <c r="N23" s="24">
        <f t="shared" si="6"/>
        <v>4.3333333331393078</v>
      </c>
      <c r="O23" s="24">
        <f t="shared" si="7"/>
        <v>17.816666666942183</v>
      </c>
      <c r="P23" s="24">
        <f t="shared" si="8"/>
        <v>12.933333333057817</v>
      </c>
      <c r="Q23" s="24">
        <f t="shared" si="9"/>
        <v>7.4500000000116415</v>
      </c>
      <c r="R23" s="24">
        <f t="shared" si="10"/>
        <v>5.25</v>
      </c>
      <c r="S23" s="24">
        <f t="shared" si="11"/>
        <v>47.783333333150949</v>
      </c>
    </row>
    <row r="24" spans="1:22" x14ac:dyDescent="0.3">
      <c r="A24" t="s">
        <v>183</v>
      </c>
      <c r="B24" s="23">
        <v>46087.760416666657</v>
      </c>
      <c r="C24" s="23">
        <v>46088.129861111112</v>
      </c>
      <c r="D24" s="23">
        <v>46089.03125</v>
      </c>
      <c r="E24" s="23">
        <v>46090.040972222218</v>
      </c>
      <c r="F24" s="23">
        <v>46090.282638888893</v>
      </c>
      <c r="G24" s="23">
        <v>46090.423611111109</v>
      </c>
      <c r="H24" s="24">
        <f t="shared" si="0"/>
        <v>8.8666666669305414</v>
      </c>
      <c r="I24" s="24">
        <f t="shared" si="1"/>
        <v>21.633333333302289</v>
      </c>
      <c r="J24" s="24">
        <f t="shared" si="2"/>
        <v>24.233333333220799</v>
      </c>
      <c r="K24" s="24">
        <f t="shared" si="3"/>
        <v>5.8000000002211891</v>
      </c>
      <c r="L24" s="24">
        <f t="shared" si="4"/>
        <v>3.3833333331858739</v>
      </c>
      <c r="M24" t="str">
        <f t="shared" si="5"/>
        <v>OK</v>
      </c>
      <c r="N24" s="24">
        <f t="shared" si="6"/>
        <v>8.8666666669305414</v>
      </c>
      <c r="O24" s="24">
        <f t="shared" si="7"/>
        <v>21.633333333302289</v>
      </c>
      <c r="P24" s="24">
        <f t="shared" si="8"/>
        <v>24.233333333220799</v>
      </c>
      <c r="Q24" s="24">
        <f t="shared" si="9"/>
        <v>5.8000000002211891</v>
      </c>
      <c r="R24" s="24">
        <f t="shared" si="10"/>
        <v>3.3833333331858739</v>
      </c>
      <c r="S24" s="24">
        <f t="shared" si="11"/>
        <v>63.916666666860692</v>
      </c>
    </row>
    <row r="25" spans="1:22" x14ac:dyDescent="0.3">
      <c r="A25" t="s">
        <v>184</v>
      </c>
      <c r="B25" s="23">
        <v>46087.813194444447</v>
      </c>
      <c r="C25" s="23">
        <v>46088.027777777781</v>
      </c>
      <c r="D25" s="23">
        <v>46089.052777777782</v>
      </c>
      <c r="E25" s="23">
        <v>46089.761111111111</v>
      </c>
      <c r="F25" s="23">
        <v>46090.093055555553</v>
      </c>
      <c r="G25" s="23">
        <v>46090.282638888893</v>
      </c>
      <c r="H25" s="24">
        <f t="shared" si="0"/>
        <v>5.1500000000232831</v>
      </c>
      <c r="I25" s="24">
        <f t="shared" si="1"/>
        <v>24.600000000034925</v>
      </c>
      <c r="J25" s="24">
        <f t="shared" si="2"/>
        <v>16.999999999883585</v>
      </c>
      <c r="K25" s="24">
        <f t="shared" si="3"/>
        <v>7.96666666661622</v>
      </c>
      <c r="L25" s="24">
        <f t="shared" si="4"/>
        <v>4.5500000001629815</v>
      </c>
      <c r="M25" t="str">
        <f t="shared" si="5"/>
        <v>OK</v>
      </c>
      <c r="N25" s="24">
        <f t="shared" si="6"/>
        <v>5.1500000000232831</v>
      </c>
      <c r="O25" s="24">
        <f t="shared" si="7"/>
        <v>24.600000000034925</v>
      </c>
      <c r="P25" s="24">
        <f t="shared" si="8"/>
        <v>16.999999999883585</v>
      </c>
      <c r="Q25" s="24">
        <f t="shared" si="9"/>
        <v>7.96666666661622</v>
      </c>
      <c r="R25" s="24">
        <f t="shared" si="10"/>
        <v>4.5500000001629815</v>
      </c>
      <c r="S25" s="24">
        <f t="shared" si="11"/>
        <v>59.266666666720994</v>
      </c>
    </row>
    <row r="26" spans="1:22" x14ac:dyDescent="0.3">
      <c r="A26" t="s">
        <v>185</v>
      </c>
      <c r="B26" s="23">
        <v>46087.898611111108</v>
      </c>
      <c r="C26" s="23">
        <v>46088.226388888892</v>
      </c>
      <c r="D26" s="23">
        <v>46088.797222222223</v>
      </c>
      <c r="E26" s="23">
        <v>46089.080555555563</v>
      </c>
      <c r="F26" s="23">
        <v>46089.304166666669</v>
      </c>
      <c r="G26" s="23">
        <v>46089.434027777781</v>
      </c>
      <c r="H26" s="24">
        <f t="shared" si="0"/>
        <v>7.8666666668141261</v>
      </c>
      <c r="I26" s="24">
        <f t="shared" si="1"/>
        <v>13.699999999953434</v>
      </c>
      <c r="J26" s="24">
        <f t="shared" si="2"/>
        <v>6.8000000001629815</v>
      </c>
      <c r="K26" s="24">
        <f t="shared" si="3"/>
        <v>5.3666666665230878</v>
      </c>
      <c r="L26" s="24">
        <f t="shared" si="4"/>
        <v>3.1166666666977108</v>
      </c>
      <c r="M26" t="str">
        <f t="shared" si="5"/>
        <v>OK</v>
      </c>
      <c r="N26" s="24">
        <f t="shared" si="6"/>
        <v>7.8666666668141261</v>
      </c>
      <c r="O26" s="24">
        <f t="shared" si="7"/>
        <v>13.699999999953434</v>
      </c>
      <c r="P26" s="24">
        <f t="shared" si="8"/>
        <v>6.8000000001629815</v>
      </c>
      <c r="Q26" s="24">
        <f t="shared" si="9"/>
        <v>5.3666666665230878</v>
      </c>
      <c r="R26" s="24">
        <f t="shared" si="10"/>
        <v>3.1166666666977108</v>
      </c>
      <c r="S26" s="24">
        <f t="shared" si="11"/>
        <v>36.85000000015134</v>
      </c>
    </row>
    <row r="27" spans="1:22" x14ac:dyDescent="0.3">
      <c r="A27" t="s">
        <v>186</v>
      </c>
      <c r="B27" s="23">
        <v>46088.061111111107</v>
      </c>
      <c r="C27" s="23">
        <v>46088.28125</v>
      </c>
      <c r="D27" s="23">
        <v>46088.851388888892</v>
      </c>
      <c r="E27" s="23">
        <v>46089.736111111109</v>
      </c>
      <c r="F27" s="23">
        <v>46090.163194444453</v>
      </c>
      <c r="G27" s="23">
        <v>46090.232638888891</v>
      </c>
      <c r="H27" s="24">
        <f t="shared" si="0"/>
        <v>5.2833333334419876</v>
      </c>
      <c r="I27" s="24">
        <f t="shared" si="1"/>
        <v>13.683333333407063</v>
      </c>
      <c r="J27" s="24">
        <f t="shared" si="2"/>
        <v>21.233333333220799</v>
      </c>
      <c r="K27" s="24">
        <f t="shared" si="3"/>
        <v>10.250000000232831</v>
      </c>
      <c r="L27" s="24">
        <f t="shared" si="4"/>
        <v>1.6666666665114462</v>
      </c>
      <c r="M27" t="str">
        <f t="shared" si="5"/>
        <v>OK</v>
      </c>
      <c r="N27" s="24">
        <f t="shared" si="6"/>
        <v>5.2833333334419876</v>
      </c>
      <c r="O27" s="24">
        <f t="shared" si="7"/>
        <v>13.683333333407063</v>
      </c>
      <c r="P27" s="24">
        <f t="shared" si="8"/>
        <v>21.233333333220799</v>
      </c>
      <c r="Q27" s="24">
        <f t="shared" si="9"/>
        <v>10.250000000232831</v>
      </c>
      <c r="R27" s="24">
        <f t="shared" si="10"/>
        <v>1.6666666665114462</v>
      </c>
      <c r="S27" s="24">
        <f t="shared" si="11"/>
        <v>52.116666666814126</v>
      </c>
    </row>
    <row r="28" spans="1:22" x14ac:dyDescent="0.3">
      <c r="A28" t="s">
        <v>187</v>
      </c>
      <c r="B28" s="23">
        <v>46088.261805555558</v>
      </c>
      <c r="C28" s="23">
        <v>46088.390277777777</v>
      </c>
      <c r="D28" s="23">
        <v>46089.227083333331</v>
      </c>
      <c r="E28" s="23">
        <v>46089.697916666657</v>
      </c>
      <c r="F28" s="23">
        <v>46090.42291666667</v>
      </c>
      <c r="G28" s="23">
        <v>46090.533333333333</v>
      </c>
      <c r="H28" s="24">
        <f t="shared" si="0"/>
        <v>3.0833333332557231</v>
      </c>
      <c r="I28" s="24">
        <f t="shared" si="1"/>
        <v>20.083333333313931</v>
      </c>
      <c r="J28" s="24">
        <f t="shared" si="2"/>
        <v>11.299999999813735</v>
      </c>
      <c r="K28" s="24">
        <f t="shared" si="3"/>
        <v>17.400000000314321</v>
      </c>
      <c r="L28" s="24">
        <f t="shared" si="4"/>
        <v>2.6499999999068677</v>
      </c>
      <c r="M28" t="str">
        <f t="shared" si="5"/>
        <v>OK</v>
      </c>
      <c r="N28" s="24">
        <f t="shared" si="6"/>
        <v>3.0833333332557231</v>
      </c>
      <c r="O28" s="24">
        <f t="shared" si="7"/>
        <v>20.083333333313931</v>
      </c>
      <c r="P28" s="24">
        <f t="shared" si="8"/>
        <v>11.299999999813735</v>
      </c>
      <c r="Q28" s="24">
        <f t="shared" si="9"/>
        <v>17.400000000314321</v>
      </c>
      <c r="R28" s="24">
        <f t="shared" si="10"/>
        <v>2.6499999999068677</v>
      </c>
      <c r="S28" s="24">
        <f t="shared" si="11"/>
        <v>54.516666666604578</v>
      </c>
    </row>
    <row r="29" spans="1:22" x14ac:dyDescent="0.3">
      <c r="A29" t="s">
        <v>188</v>
      </c>
      <c r="B29" s="23">
        <v>46088.527777777781</v>
      </c>
      <c r="C29" s="23">
        <v>46088.68472222222</v>
      </c>
      <c r="D29" s="23">
        <v>46089.460416666669</v>
      </c>
      <c r="E29" s="23">
        <v>46090.57916666667</v>
      </c>
      <c r="F29" s="23">
        <v>46091.068749999999</v>
      </c>
      <c r="G29" s="23">
        <v>46091.195138888892</v>
      </c>
      <c r="H29" s="24">
        <f t="shared" si="0"/>
        <v>3.7666666665463708</v>
      </c>
      <c r="I29" s="24">
        <f t="shared" si="1"/>
        <v>18.616666666755918</v>
      </c>
      <c r="J29" s="24">
        <f t="shared" si="2"/>
        <v>26.850000000034925</v>
      </c>
      <c r="K29" s="24">
        <f t="shared" si="3"/>
        <v>11.749999999883585</v>
      </c>
      <c r="L29" s="24">
        <f t="shared" si="4"/>
        <v>3.0333333334419876</v>
      </c>
      <c r="M29" t="str">
        <f t="shared" si="5"/>
        <v>OK</v>
      </c>
      <c r="N29" s="24">
        <f t="shared" si="6"/>
        <v>3.7666666665463708</v>
      </c>
      <c r="O29" s="24">
        <f t="shared" si="7"/>
        <v>18.616666666755918</v>
      </c>
      <c r="P29" s="24">
        <f t="shared" si="8"/>
        <v>26.850000000034925</v>
      </c>
      <c r="Q29" s="24">
        <f t="shared" si="9"/>
        <v>11.749999999883585</v>
      </c>
      <c r="R29" s="24">
        <f t="shared" si="10"/>
        <v>3.0333333334419876</v>
      </c>
      <c r="S29" s="24">
        <f t="shared" si="11"/>
        <v>64.016666666662786</v>
      </c>
    </row>
    <row r="30" spans="1:22" x14ac:dyDescent="0.3">
      <c r="A30" t="s">
        <v>189</v>
      </c>
      <c r="B30" s="23">
        <v>46088.604166666657</v>
      </c>
      <c r="C30" s="23">
        <v>46088.742361111108</v>
      </c>
      <c r="D30" s="23">
        <v>46089.763888888891</v>
      </c>
      <c r="E30" s="23">
        <v>46090.554166666669</v>
      </c>
      <c r="F30" s="23">
        <v>46090.736111111109</v>
      </c>
      <c r="G30" s="23">
        <v>46090.852777777778</v>
      </c>
      <c r="H30" s="24">
        <f t="shared" si="0"/>
        <v>3.3166666668257676</v>
      </c>
      <c r="I30" s="24">
        <f t="shared" si="1"/>
        <v>24.516666666779201</v>
      </c>
      <c r="J30" s="24">
        <f t="shared" si="2"/>
        <v>18.966666666674428</v>
      </c>
      <c r="K30" s="24">
        <f t="shared" si="3"/>
        <v>4.3666666665812954</v>
      </c>
      <c r="L30" s="24">
        <f t="shared" si="4"/>
        <v>2.8000000000465661</v>
      </c>
      <c r="M30" t="str">
        <f t="shared" si="5"/>
        <v>OK</v>
      </c>
      <c r="N30" s="24">
        <f t="shared" si="6"/>
        <v>3.3166666668257676</v>
      </c>
      <c r="O30" s="24">
        <f t="shared" si="7"/>
        <v>24.516666666779201</v>
      </c>
      <c r="P30" s="24">
        <f t="shared" si="8"/>
        <v>18.966666666674428</v>
      </c>
      <c r="Q30" s="24">
        <f t="shared" si="9"/>
        <v>4.3666666665812954</v>
      </c>
      <c r="R30" s="24">
        <f t="shared" si="10"/>
        <v>2.8000000000465661</v>
      </c>
      <c r="S30" s="24">
        <f t="shared" si="11"/>
        <v>53.966666666907258</v>
      </c>
    </row>
    <row r="31" spans="1:22" x14ac:dyDescent="0.3">
      <c r="A31" t="s">
        <v>190</v>
      </c>
      <c r="B31" s="23">
        <v>46088.638194444437</v>
      </c>
      <c r="C31" s="23">
        <v>46088.856944444437</v>
      </c>
      <c r="D31" s="23">
        <v>46089.369444444441</v>
      </c>
      <c r="E31" s="23">
        <v>46090.211805555547</v>
      </c>
      <c r="F31" s="23">
        <v>46090.34375</v>
      </c>
      <c r="G31" s="23">
        <v>46090.490972222222</v>
      </c>
      <c r="H31" s="24">
        <f t="shared" si="0"/>
        <v>5.25</v>
      </c>
      <c r="I31" s="24">
        <f t="shared" si="1"/>
        <v>12.300000000104774</v>
      </c>
      <c r="J31" s="24">
        <f t="shared" si="2"/>
        <v>20.216666666558012</v>
      </c>
      <c r="K31" s="24">
        <f t="shared" si="3"/>
        <v>3.1666666668606922</v>
      </c>
      <c r="L31" s="24">
        <f t="shared" si="4"/>
        <v>3.5333333333255723</v>
      </c>
      <c r="M31" t="str">
        <f t="shared" si="5"/>
        <v>OK</v>
      </c>
      <c r="N31" s="24">
        <f t="shared" si="6"/>
        <v>5.25</v>
      </c>
      <c r="O31" s="24">
        <f t="shared" si="7"/>
        <v>12.300000000104774</v>
      </c>
      <c r="P31" s="24">
        <f t="shared" si="8"/>
        <v>20.216666666558012</v>
      </c>
      <c r="Q31" s="24">
        <f t="shared" si="9"/>
        <v>3.1666666668606922</v>
      </c>
      <c r="R31" s="24">
        <f t="shared" si="10"/>
        <v>3.5333333333255723</v>
      </c>
      <c r="S31" s="24">
        <f t="shared" si="11"/>
        <v>44.466666666849051</v>
      </c>
    </row>
    <row r="32" spans="1:22" x14ac:dyDescent="0.3">
      <c r="A32" t="s">
        <v>191</v>
      </c>
      <c r="B32" s="23">
        <v>46088.763888888891</v>
      </c>
      <c r="C32" s="23">
        <v>46089.070138888892</v>
      </c>
      <c r="D32" s="23">
        <v>46089.962500000001</v>
      </c>
      <c r="E32" s="23">
        <v>46090.234722222223</v>
      </c>
      <c r="F32" s="23">
        <v>46090.851388888892</v>
      </c>
      <c r="G32" s="23">
        <v>46090.95</v>
      </c>
      <c r="H32" s="24">
        <f t="shared" si="0"/>
        <v>7.3500000000349246</v>
      </c>
      <c r="I32" s="24">
        <f t="shared" si="1"/>
        <v>21.416666666627862</v>
      </c>
      <c r="J32" s="24">
        <f t="shared" si="2"/>
        <v>6.5333333333255723</v>
      </c>
      <c r="K32" s="24">
        <f t="shared" si="3"/>
        <v>14.800000000046566</v>
      </c>
      <c r="L32" s="24">
        <f t="shared" si="4"/>
        <v>2.3666666665230878</v>
      </c>
      <c r="M32" t="str">
        <f t="shared" si="5"/>
        <v>OK</v>
      </c>
      <c r="N32" s="24">
        <f t="shared" si="6"/>
        <v>7.3500000000349246</v>
      </c>
      <c r="O32" s="24">
        <f t="shared" si="7"/>
        <v>21.416666666627862</v>
      </c>
      <c r="P32" s="24">
        <f t="shared" si="8"/>
        <v>6.5333333333255723</v>
      </c>
      <c r="Q32" s="24">
        <f t="shared" si="9"/>
        <v>14.800000000046566</v>
      </c>
      <c r="R32" s="24">
        <f t="shared" si="10"/>
        <v>2.3666666665230878</v>
      </c>
      <c r="S32" s="24">
        <f t="shared" si="11"/>
        <v>52.466666666558012</v>
      </c>
    </row>
    <row r="33" spans="1:19" x14ac:dyDescent="0.3">
      <c r="A33" t="s">
        <v>192</v>
      </c>
      <c r="B33" s="23">
        <v>46089.072916666657</v>
      </c>
      <c r="C33" s="23">
        <v>46089.185416666667</v>
      </c>
      <c r="D33" s="23">
        <v>46089.899305555547</v>
      </c>
      <c r="E33" s="23">
        <v>46090.046527777777</v>
      </c>
      <c r="F33" s="23">
        <v>46090.397916666669</v>
      </c>
      <c r="G33" s="23">
        <v>46090.515277777777</v>
      </c>
      <c r="H33" s="24">
        <f t="shared" si="0"/>
        <v>2.7000000002444722</v>
      </c>
      <c r="I33" s="24">
        <f t="shared" si="1"/>
        <v>17.133333333127666</v>
      </c>
      <c r="J33" s="24">
        <f t="shared" si="2"/>
        <v>3.5333333335001953</v>
      </c>
      <c r="K33" s="24">
        <f t="shared" si="3"/>
        <v>8.433333333407063</v>
      </c>
      <c r="L33" s="24">
        <f t="shared" si="4"/>
        <v>2.816666666592937</v>
      </c>
      <c r="M33" t="str">
        <f t="shared" si="5"/>
        <v>OK</v>
      </c>
      <c r="N33" s="24">
        <f t="shared" si="6"/>
        <v>2.7000000002444722</v>
      </c>
      <c r="O33" s="24">
        <f t="shared" si="7"/>
        <v>17.133333333127666</v>
      </c>
      <c r="P33" s="24">
        <f t="shared" si="8"/>
        <v>3.5333333335001953</v>
      </c>
      <c r="Q33" s="24">
        <f t="shared" si="9"/>
        <v>8.433333333407063</v>
      </c>
      <c r="R33" s="24">
        <f t="shared" si="10"/>
        <v>2.816666666592937</v>
      </c>
      <c r="S33" s="24">
        <f t="shared" si="11"/>
        <v>34.616666666872334</v>
      </c>
    </row>
    <row r="34" spans="1:19" x14ac:dyDescent="0.3">
      <c r="A34" t="s">
        <v>193</v>
      </c>
      <c r="B34" s="23">
        <v>46089.529166666667</v>
      </c>
      <c r="C34" s="23">
        <v>46089.774305555547</v>
      </c>
      <c r="D34" s="23">
        <v>46090.602777777778</v>
      </c>
      <c r="E34" s="23">
        <v>46091.640277777777</v>
      </c>
      <c r="F34" s="23">
        <v>46091.978472222218</v>
      </c>
      <c r="G34" s="23">
        <v>46092.069444444453</v>
      </c>
      <c r="H34" s="24">
        <f t="shared" si="0"/>
        <v>5.8833333331276663</v>
      </c>
      <c r="I34" s="24">
        <f t="shared" si="1"/>
        <v>19.88333333353512</v>
      </c>
      <c r="J34" s="24">
        <f t="shared" si="2"/>
        <v>24.899999999965075</v>
      </c>
      <c r="K34" s="24">
        <f t="shared" si="3"/>
        <v>8.1166666665812954</v>
      </c>
      <c r="L34" s="24">
        <f t="shared" si="4"/>
        <v>2.1833333336398937</v>
      </c>
      <c r="M34" t="str">
        <f t="shared" si="5"/>
        <v>OK</v>
      </c>
      <c r="N34" s="24">
        <f t="shared" si="6"/>
        <v>5.8833333331276663</v>
      </c>
      <c r="O34" s="24">
        <f t="shared" si="7"/>
        <v>19.88333333353512</v>
      </c>
      <c r="P34" s="24">
        <f t="shared" si="8"/>
        <v>24.899999999965075</v>
      </c>
      <c r="Q34" s="24">
        <f t="shared" si="9"/>
        <v>8.1166666665812954</v>
      </c>
      <c r="R34" s="24">
        <f t="shared" si="10"/>
        <v>2.1833333336398937</v>
      </c>
      <c r="S34" s="24">
        <f t="shared" si="11"/>
        <v>60.966666666849051</v>
      </c>
    </row>
    <row r="35" spans="1:19" x14ac:dyDescent="0.3">
      <c r="A35" t="s">
        <v>194</v>
      </c>
      <c r="B35" s="23">
        <v>46089.593055555553</v>
      </c>
      <c r="C35" s="23">
        <v>46089.709027777782</v>
      </c>
      <c r="D35" s="23">
        <v>46090.720833333333</v>
      </c>
      <c r="E35" s="23">
        <v>46091.352083333331</v>
      </c>
      <c r="F35" s="23">
        <v>46091.734722222223</v>
      </c>
      <c r="G35" s="23">
        <v>46091.808333333327</v>
      </c>
      <c r="H35" s="24">
        <f t="shared" si="0"/>
        <v>2.7833333335001953</v>
      </c>
      <c r="I35" s="24">
        <f t="shared" si="1"/>
        <v>24.283333333209157</v>
      </c>
      <c r="J35" s="24">
        <f t="shared" si="2"/>
        <v>15.149999999965075</v>
      </c>
      <c r="K35" s="24">
        <f t="shared" si="3"/>
        <v>9.183333333407063</v>
      </c>
      <c r="L35" s="24">
        <f t="shared" si="4"/>
        <v>1.7666666664881632</v>
      </c>
      <c r="M35" t="str">
        <f t="shared" si="5"/>
        <v>OK</v>
      </c>
      <c r="N35" s="24">
        <f t="shared" si="6"/>
        <v>2.7833333335001953</v>
      </c>
      <c r="O35" s="24">
        <f t="shared" si="7"/>
        <v>24.283333333209157</v>
      </c>
      <c r="P35" s="24">
        <f t="shared" si="8"/>
        <v>15.149999999965075</v>
      </c>
      <c r="Q35" s="24">
        <f t="shared" si="9"/>
        <v>9.183333333407063</v>
      </c>
      <c r="R35" s="24">
        <f t="shared" si="10"/>
        <v>1.7666666664881632</v>
      </c>
      <c r="S35" s="24">
        <f t="shared" si="11"/>
        <v>53.166666666569654</v>
      </c>
    </row>
    <row r="36" spans="1:19" x14ac:dyDescent="0.3">
      <c r="A36" t="s">
        <v>195</v>
      </c>
      <c r="B36" s="23">
        <v>46089.700694444437</v>
      </c>
      <c r="C36" s="23">
        <v>46089.935416666667</v>
      </c>
      <c r="D36" s="23">
        <v>46090.864583333343</v>
      </c>
      <c r="E36" s="23">
        <v>46091.32708333333</v>
      </c>
      <c r="F36" s="23">
        <v>46092.171527777777</v>
      </c>
      <c r="G36" s="23">
        <v>46092.239583333343</v>
      </c>
      <c r="H36" s="24">
        <f t="shared" si="0"/>
        <v>5.6333333335351199</v>
      </c>
      <c r="I36" s="24">
        <f t="shared" si="1"/>
        <v>22.300000000221189</v>
      </c>
      <c r="J36" s="24">
        <f t="shared" si="2"/>
        <v>11.099999999685679</v>
      </c>
      <c r="K36" s="24">
        <f t="shared" si="3"/>
        <v>20.266666666720994</v>
      </c>
      <c r="L36" s="24">
        <f t="shared" si="4"/>
        <v>1.6333333335933276</v>
      </c>
      <c r="M36" t="str">
        <f t="shared" si="5"/>
        <v>OK</v>
      </c>
      <c r="N36" s="24">
        <f t="shared" si="6"/>
        <v>5.6333333335351199</v>
      </c>
      <c r="O36" s="24">
        <f t="shared" si="7"/>
        <v>22.300000000221189</v>
      </c>
      <c r="P36" s="24">
        <f t="shared" si="8"/>
        <v>11.099999999685679</v>
      </c>
      <c r="Q36" s="24">
        <f t="shared" si="9"/>
        <v>20.266666666720994</v>
      </c>
      <c r="R36" s="24">
        <f t="shared" si="10"/>
        <v>1.6333333335933276</v>
      </c>
      <c r="S36" s="24">
        <f t="shared" si="11"/>
        <v>60.933333333756309</v>
      </c>
    </row>
    <row r="37" spans="1:19" x14ac:dyDescent="0.3">
      <c r="A37" t="s">
        <v>196</v>
      </c>
      <c r="B37" s="23">
        <v>46090.2</v>
      </c>
      <c r="C37" s="23">
        <v>46090.57708333333</v>
      </c>
      <c r="D37" s="23">
        <v>46091.376388888893</v>
      </c>
      <c r="E37" s="23">
        <v>46092.069444444453</v>
      </c>
      <c r="F37" s="23">
        <v>46092.293055555558</v>
      </c>
      <c r="G37" s="23">
        <v>46092.428472222222</v>
      </c>
      <c r="H37" s="24">
        <f t="shared" si="0"/>
        <v>9.0499999999883585</v>
      </c>
      <c r="I37" s="24">
        <f t="shared" si="1"/>
        <v>19.183333333523478</v>
      </c>
      <c r="J37" s="24">
        <f t="shared" si="2"/>
        <v>16.633333333418705</v>
      </c>
      <c r="K37" s="24">
        <f t="shared" si="3"/>
        <v>5.3666666665230878</v>
      </c>
      <c r="L37" s="24">
        <f t="shared" si="4"/>
        <v>3.2499999999417923</v>
      </c>
      <c r="M37" t="str">
        <f t="shared" si="5"/>
        <v>OK</v>
      </c>
      <c r="N37" s="24">
        <f t="shared" si="6"/>
        <v>9.0499999999883585</v>
      </c>
      <c r="O37" s="24">
        <f t="shared" si="7"/>
        <v>19.183333333523478</v>
      </c>
      <c r="P37" s="24">
        <f t="shared" si="8"/>
        <v>16.633333333418705</v>
      </c>
      <c r="Q37" s="24">
        <f t="shared" si="9"/>
        <v>5.3666666665230878</v>
      </c>
      <c r="R37" s="24">
        <f t="shared" si="10"/>
        <v>3.2499999999417923</v>
      </c>
      <c r="S37" s="24">
        <f t="shared" si="11"/>
        <v>53.483333333395422</v>
      </c>
    </row>
    <row r="38" spans="1:19" x14ac:dyDescent="0.3">
      <c r="A38" t="s">
        <v>197</v>
      </c>
      <c r="B38" s="23">
        <v>46090.224305555559</v>
      </c>
      <c r="C38" s="23">
        <v>46090.45</v>
      </c>
      <c r="D38" s="23">
        <v>46091.070138888892</v>
      </c>
      <c r="E38" s="23">
        <v>46092.004166666673</v>
      </c>
      <c r="F38" s="23">
        <v>46092.453472222223</v>
      </c>
      <c r="G38" s="23">
        <v>46092.597916666673</v>
      </c>
      <c r="H38" s="24">
        <f t="shared" ref="H38:H69" si="12">IF(OR(B38="",C38=""),"",(C38-B38)*24)</f>
        <v>5.4166666665114462</v>
      </c>
      <c r="I38" s="24">
        <f t="shared" ref="I38:I69" si="13">IF(OR(C38="",D38=""),"",(D38-C38)*24)</f>
        <v>14.883333333476912</v>
      </c>
      <c r="J38" s="24">
        <f t="shared" ref="J38:J69" si="14">IF(OR(D38="",E38=""),"",(E38-D38)*24)</f>
        <v>22.416666666744277</v>
      </c>
      <c r="K38" s="24">
        <f t="shared" ref="K38:K69" si="15">IF(OR(E38="",F38=""),"",(F38-E38)*24)</f>
        <v>10.783333333209157</v>
      </c>
      <c r="L38" s="24">
        <f t="shared" ref="L38:L69" si="16">IF(OR(F38="",G38=""),"",(G38-F38)*24)</f>
        <v>3.466666666790843</v>
      </c>
      <c r="M38" t="str">
        <f t="shared" ref="M38:M69" si="17">IF(COUNT(B38:G38)&lt;6,"Missing timestamp",IF(MIN(H38:L38)&lt;0,"Negative duration","OK"))</f>
        <v>OK</v>
      </c>
      <c r="N38" s="24">
        <f t="shared" ref="N38:N69" si="18">IF($M38="OK",H38,"")</f>
        <v>5.4166666665114462</v>
      </c>
      <c r="O38" s="24">
        <f t="shared" ref="O38:O69" si="19">IF($M38="OK",I38,"")</f>
        <v>14.883333333476912</v>
      </c>
      <c r="P38" s="24">
        <f t="shared" ref="P38:P69" si="20">IF($M38="OK",J38,"")</f>
        <v>22.416666666744277</v>
      </c>
      <c r="Q38" s="24">
        <f t="shared" ref="Q38:Q69" si="21">IF($M38="OK",K38,"")</f>
        <v>10.783333333209157</v>
      </c>
      <c r="R38" s="24">
        <f t="shared" ref="R38:R69" si="22">IF($M38="OK",L38,"")</f>
        <v>3.466666666790843</v>
      </c>
      <c r="S38" s="24">
        <f t="shared" ref="S38:S69" si="23">IF(M38="OK",SUM(N38:R38),"")</f>
        <v>56.966666666732635</v>
      </c>
    </row>
    <row r="39" spans="1:19" x14ac:dyDescent="0.3">
      <c r="A39" t="s">
        <v>198</v>
      </c>
      <c r="B39" s="23">
        <v>46090.305555555547</v>
      </c>
      <c r="C39" s="23">
        <v>46090.686805555553</v>
      </c>
      <c r="D39" s="23">
        <v>46091.445138888892</v>
      </c>
      <c r="E39" s="23">
        <v>46092.847916666673</v>
      </c>
      <c r="F39" s="23">
        <v>46093.202777777777</v>
      </c>
      <c r="G39" s="23">
        <v>46093.322222222218</v>
      </c>
      <c r="H39" s="24">
        <f t="shared" si="12"/>
        <v>9.1500000001396984</v>
      </c>
      <c r="I39" s="24">
        <f t="shared" si="13"/>
        <v>18.200000000128057</v>
      </c>
      <c r="J39" s="24">
        <f t="shared" si="14"/>
        <v>33.666666666744277</v>
      </c>
      <c r="K39" s="24">
        <f t="shared" si="15"/>
        <v>8.5166666664881632</v>
      </c>
      <c r="L39" s="24">
        <f t="shared" si="16"/>
        <v>2.8666666665812954</v>
      </c>
      <c r="M39" t="str">
        <f t="shared" si="17"/>
        <v>OK</v>
      </c>
      <c r="N39" s="24">
        <f t="shared" si="18"/>
        <v>9.1500000001396984</v>
      </c>
      <c r="O39" s="24">
        <f t="shared" si="19"/>
        <v>18.200000000128057</v>
      </c>
      <c r="P39" s="24">
        <f t="shared" si="20"/>
        <v>33.666666666744277</v>
      </c>
      <c r="Q39" s="24">
        <f t="shared" si="21"/>
        <v>8.5166666664881632</v>
      </c>
      <c r="R39" s="24">
        <f t="shared" si="22"/>
        <v>2.8666666665812954</v>
      </c>
      <c r="S39" s="24">
        <f t="shared" si="23"/>
        <v>72.400000000081491</v>
      </c>
    </row>
    <row r="40" spans="1:19" x14ac:dyDescent="0.3">
      <c r="A40" t="s">
        <v>199</v>
      </c>
      <c r="B40" s="23">
        <v>46090.908333333333</v>
      </c>
      <c r="C40" s="23">
        <v>46091.089583333327</v>
      </c>
      <c r="D40" s="23">
        <v>46091.636805555558</v>
      </c>
      <c r="E40" s="23">
        <v>46092.48333333333</v>
      </c>
      <c r="F40" s="23">
        <v>46092.888194444437</v>
      </c>
      <c r="G40" s="23">
        <v>46092.951388888891</v>
      </c>
      <c r="H40" s="24">
        <f t="shared" si="12"/>
        <v>4.3499999998603016</v>
      </c>
      <c r="I40" s="24">
        <f t="shared" si="13"/>
        <v>13.13333333353512</v>
      </c>
      <c r="J40" s="24">
        <f t="shared" si="14"/>
        <v>20.316666666534729</v>
      </c>
      <c r="K40" s="24">
        <f t="shared" si="15"/>
        <v>9.7166666665580124</v>
      </c>
      <c r="L40" s="24">
        <f t="shared" si="16"/>
        <v>1.5166666668956168</v>
      </c>
      <c r="M40" t="str">
        <f t="shared" si="17"/>
        <v>OK</v>
      </c>
      <c r="N40" s="24">
        <f t="shared" si="18"/>
        <v>4.3499999998603016</v>
      </c>
      <c r="O40" s="24">
        <f t="shared" si="19"/>
        <v>13.13333333353512</v>
      </c>
      <c r="P40" s="24">
        <f t="shared" si="20"/>
        <v>20.316666666534729</v>
      </c>
      <c r="Q40" s="24">
        <f t="shared" si="21"/>
        <v>9.7166666665580124</v>
      </c>
      <c r="R40" s="24">
        <f t="shared" si="22"/>
        <v>1.5166666668956168</v>
      </c>
      <c r="S40" s="24">
        <f t="shared" si="23"/>
        <v>49.03333333338378</v>
      </c>
    </row>
    <row r="41" spans="1:19" x14ac:dyDescent="0.3">
      <c r="A41" t="s">
        <v>200</v>
      </c>
      <c r="B41" s="23">
        <v>46091.045138888891</v>
      </c>
      <c r="C41" s="23">
        <v>46091.21597222222</v>
      </c>
      <c r="D41" s="23">
        <v>46092.236111111109</v>
      </c>
      <c r="E41" s="23">
        <v>46093.34097222222</v>
      </c>
      <c r="F41" s="23">
        <v>46093.790972222218</v>
      </c>
      <c r="G41" s="23">
        <v>46093.943749999999</v>
      </c>
      <c r="H41" s="24">
        <f t="shared" si="12"/>
        <v>4.0999999999185093</v>
      </c>
      <c r="I41" s="24">
        <f t="shared" si="13"/>
        <v>24.483333333337214</v>
      </c>
      <c r="J41" s="24">
        <f t="shared" si="14"/>
        <v>26.516666666662786</v>
      </c>
      <c r="K41" s="24">
        <f t="shared" si="15"/>
        <v>10.799999999930151</v>
      </c>
      <c r="L41" s="24">
        <f t="shared" si="16"/>
        <v>3.6666666667442769</v>
      </c>
      <c r="M41" t="str">
        <f t="shared" si="17"/>
        <v>OK</v>
      </c>
      <c r="N41" s="24">
        <f t="shared" si="18"/>
        <v>4.0999999999185093</v>
      </c>
      <c r="O41" s="24">
        <f t="shared" si="19"/>
        <v>24.483333333337214</v>
      </c>
      <c r="P41" s="24">
        <f t="shared" si="20"/>
        <v>26.516666666662786</v>
      </c>
      <c r="Q41" s="24">
        <f t="shared" si="21"/>
        <v>10.799999999930151</v>
      </c>
      <c r="R41" s="24">
        <f t="shared" si="22"/>
        <v>3.6666666667442769</v>
      </c>
      <c r="S41" s="24">
        <f t="shared" si="23"/>
        <v>69.566666666592937</v>
      </c>
    </row>
    <row r="42" spans="1:19" x14ac:dyDescent="0.3">
      <c r="A42" t="s">
        <v>201</v>
      </c>
      <c r="B42" s="23">
        <v>46091.168055555558</v>
      </c>
      <c r="C42" s="23">
        <v>46091.327777777777</v>
      </c>
      <c r="D42" s="23">
        <v>46092.1</v>
      </c>
      <c r="E42" s="23">
        <v>46094.054166666669</v>
      </c>
      <c r="F42" s="23">
        <v>46094.611805555563</v>
      </c>
      <c r="G42" s="23">
        <v>46094.70416666667</v>
      </c>
      <c r="H42" s="24">
        <f t="shared" si="12"/>
        <v>3.8333333332557231</v>
      </c>
      <c r="I42" s="24">
        <f t="shared" si="13"/>
        <v>18.533333333325572</v>
      </c>
      <c r="J42" s="24">
        <f t="shared" si="14"/>
        <v>46.900000000081491</v>
      </c>
      <c r="K42" s="24">
        <f t="shared" si="15"/>
        <v>13.383333333476912</v>
      </c>
      <c r="L42" s="24">
        <f t="shared" si="16"/>
        <v>2.2166666665580124</v>
      </c>
      <c r="M42" t="str">
        <f t="shared" si="17"/>
        <v>OK</v>
      </c>
      <c r="N42" s="24">
        <f t="shared" si="18"/>
        <v>3.8333333332557231</v>
      </c>
      <c r="O42" s="24">
        <f t="shared" si="19"/>
        <v>18.533333333325572</v>
      </c>
      <c r="P42" s="24">
        <f t="shared" si="20"/>
        <v>46.900000000081491</v>
      </c>
      <c r="Q42" s="24">
        <f t="shared" si="21"/>
        <v>13.383333333476912</v>
      </c>
      <c r="R42" s="24">
        <f t="shared" si="22"/>
        <v>2.2166666665580124</v>
      </c>
      <c r="S42" s="24">
        <f t="shared" si="23"/>
        <v>84.866666666697711</v>
      </c>
    </row>
    <row r="43" spans="1:19" x14ac:dyDescent="0.3">
      <c r="A43" t="s">
        <v>202</v>
      </c>
      <c r="B43" s="23">
        <v>46091.310416666667</v>
      </c>
      <c r="C43" s="23">
        <v>46091.486805555563</v>
      </c>
      <c r="D43" s="23">
        <v>46092.051388888889</v>
      </c>
      <c r="E43" s="23">
        <v>46092.381249999999</v>
      </c>
      <c r="F43" s="23">
        <v>46092.65</v>
      </c>
      <c r="G43" s="23">
        <v>46092.728472222218</v>
      </c>
      <c r="H43" s="24">
        <f t="shared" si="12"/>
        <v>4.2333333335118368</v>
      </c>
      <c r="I43" s="24">
        <f t="shared" si="13"/>
        <v>13.549999999813735</v>
      </c>
      <c r="J43" s="24">
        <f t="shared" si="14"/>
        <v>7.9166666666278616</v>
      </c>
      <c r="K43" s="24">
        <f t="shared" si="15"/>
        <v>6.4500000000698492</v>
      </c>
      <c r="L43" s="24">
        <f t="shared" si="16"/>
        <v>1.8833333331858739</v>
      </c>
      <c r="M43" t="str">
        <f t="shared" si="17"/>
        <v>OK</v>
      </c>
      <c r="N43" s="24">
        <f t="shared" si="18"/>
        <v>4.2333333335118368</v>
      </c>
      <c r="O43" s="24">
        <f t="shared" si="19"/>
        <v>13.549999999813735</v>
      </c>
      <c r="P43" s="24">
        <f t="shared" si="20"/>
        <v>7.9166666666278616</v>
      </c>
      <c r="Q43" s="24">
        <f t="shared" si="21"/>
        <v>6.4500000000698492</v>
      </c>
      <c r="R43" s="24">
        <f t="shared" si="22"/>
        <v>1.8833333331858739</v>
      </c>
      <c r="S43" s="24">
        <f t="shared" si="23"/>
        <v>34.033333333209157</v>
      </c>
    </row>
    <row r="44" spans="1:19" x14ac:dyDescent="0.3">
      <c r="A44" t="s">
        <v>203</v>
      </c>
      <c r="B44" s="23">
        <v>46091.551388888889</v>
      </c>
      <c r="C44" s="23">
        <v>46091.728472222218</v>
      </c>
      <c r="D44" s="23">
        <v>46092.765277777777</v>
      </c>
      <c r="E44" s="23">
        <v>46093.013888888891</v>
      </c>
      <c r="F44" s="23">
        <v>46093.408333333333</v>
      </c>
      <c r="G44" s="23">
        <v>46093.533333333333</v>
      </c>
      <c r="H44" s="24">
        <f t="shared" si="12"/>
        <v>4.2499999998835847</v>
      </c>
      <c r="I44" s="24">
        <f t="shared" si="13"/>
        <v>24.883333333418705</v>
      </c>
      <c r="J44" s="24">
        <f t="shared" si="14"/>
        <v>5.9666666667326353</v>
      </c>
      <c r="K44" s="24">
        <f t="shared" si="15"/>
        <v>9.46666666661622</v>
      </c>
      <c r="L44" s="24">
        <f t="shared" si="16"/>
        <v>3</v>
      </c>
      <c r="M44" t="str">
        <f t="shared" si="17"/>
        <v>OK</v>
      </c>
      <c r="N44" s="24">
        <f t="shared" si="18"/>
        <v>4.2499999998835847</v>
      </c>
      <c r="O44" s="24">
        <f t="shared" si="19"/>
        <v>24.883333333418705</v>
      </c>
      <c r="P44" s="24">
        <f t="shared" si="20"/>
        <v>5.9666666667326353</v>
      </c>
      <c r="Q44" s="24">
        <f t="shared" si="21"/>
        <v>9.46666666661622</v>
      </c>
      <c r="R44" s="24">
        <f t="shared" si="22"/>
        <v>3</v>
      </c>
      <c r="S44" s="24">
        <f t="shared" si="23"/>
        <v>47.566666666651145</v>
      </c>
    </row>
    <row r="45" spans="1:19" x14ac:dyDescent="0.3">
      <c r="A45" t="s">
        <v>204</v>
      </c>
      <c r="B45" s="23">
        <v>46091.711111111108</v>
      </c>
      <c r="C45" s="23">
        <v>46091.946527777778</v>
      </c>
      <c r="D45" s="23">
        <v>46093.280555555553</v>
      </c>
      <c r="E45" s="23">
        <v>46093.415277777778</v>
      </c>
      <c r="F45" s="23">
        <v>46093.570833333331</v>
      </c>
      <c r="G45" s="23">
        <v>46093.668055555558</v>
      </c>
      <c r="H45" s="24">
        <f t="shared" si="12"/>
        <v>5.6500000000814907</v>
      </c>
      <c r="I45" s="24">
        <f t="shared" si="13"/>
        <v>32.016666666604578</v>
      </c>
      <c r="J45" s="24">
        <f t="shared" si="14"/>
        <v>3.2333333333954215</v>
      </c>
      <c r="K45" s="24">
        <f t="shared" si="15"/>
        <v>3.7333333332790062</v>
      </c>
      <c r="L45" s="24">
        <f t="shared" si="16"/>
        <v>2.3333333334303461</v>
      </c>
      <c r="M45" t="str">
        <f t="shared" si="17"/>
        <v>OK</v>
      </c>
      <c r="N45" s="24">
        <f t="shared" si="18"/>
        <v>5.6500000000814907</v>
      </c>
      <c r="O45" s="24">
        <f t="shared" si="19"/>
        <v>32.016666666604578</v>
      </c>
      <c r="P45" s="24">
        <f t="shared" si="20"/>
        <v>3.2333333333954215</v>
      </c>
      <c r="Q45" s="24">
        <f t="shared" si="21"/>
        <v>3.7333333332790062</v>
      </c>
      <c r="R45" s="24">
        <f t="shared" si="22"/>
        <v>2.3333333334303461</v>
      </c>
      <c r="S45" s="24">
        <f t="shared" si="23"/>
        <v>46.966666666790843</v>
      </c>
    </row>
    <row r="46" spans="1:19" x14ac:dyDescent="0.3">
      <c r="A46" t="s">
        <v>205</v>
      </c>
      <c r="B46" s="23">
        <v>46091.794444444437</v>
      </c>
      <c r="C46" s="23">
        <v>46092.118750000001</v>
      </c>
      <c r="D46" s="23">
        <v>46092.88958333333</v>
      </c>
      <c r="E46" s="23">
        <v>46093.404861111107</v>
      </c>
      <c r="F46" s="23">
        <v>46093.838194444441</v>
      </c>
      <c r="G46" s="23">
        <v>46093.913194444453</v>
      </c>
      <c r="H46" s="24">
        <f t="shared" si="12"/>
        <v>7.783333333558403</v>
      </c>
      <c r="I46" s="24">
        <f t="shared" si="13"/>
        <v>18.499999999883585</v>
      </c>
      <c r="J46" s="24">
        <f t="shared" si="14"/>
        <v>12.366666666639503</v>
      </c>
      <c r="K46" s="24">
        <f t="shared" si="15"/>
        <v>10.400000000023283</v>
      </c>
      <c r="L46" s="24">
        <f t="shared" si="16"/>
        <v>1.8000000002793968</v>
      </c>
      <c r="M46" t="str">
        <f t="shared" si="17"/>
        <v>OK</v>
      </c>
      <c r="N46" s="24">
        <f t="shared" si="18"/>
        <v>7.783333333558403</v>
      </c>
      <c r="O46" s="24">
        <f t="shared" si="19"/>
        <v>18.499999999883585</v>
      </c>
      <c r="P46" s="24">
        <f t="shared" si="20"/>
        <v>12.366666666639503</v>
      </c>
      <c r="Q46" s="24">
        <f t="shared" si="21"/>
        <v>10.400000000023283</v>
      </c>
      <c r="R46" s="24">
        <f t="shared" si="22"/>
        <v>1.8000000002793968</v>
      </c>
      <c r="S46" s="24">
        <f t="shared" si="23"/>
        <v>50.850000000384171</v>
      </c>
    </row>
    <row r="47" spans="1:19" x14ac:dyDescent="0.3">
      <c r="A47" t="s">
        <v>206</v>
      </c>
      <c r="B47" s="23">
        <v>46092.300694444442</v>
      </c>
      <c r="C47" s="23">
        <v>46092.520833333343</v>
      </c>
      <c r="D47" s="23">
        <v>46093.279861111107</v>
      </c>
      <c r="E47" s="23">
        <v>46095.651388888888</v>
      </c>
      <c r="F47" s="23">
        <v>46095.844444444447</v>
      </c>
      <c r="G47" s="23">
        <v>46095.947222222218</v>
      </c>
      <c r="H47" s="24">
        <f t="shared" si="12"/>
        <v>5.2833333336166106</v>
      </c>
      <c r="I47" s="24">
        <f t="shared" si="13"/>
        <v>18.216666666325182</v>
      </c>
      <c r="J47" s="24">
        <f t="shared" si="14"/>
        <v>56.916666666744277</v>
      </c>
      <c r="K47" s="24">
        <f t="shared" si="15"/>
        <v>4.6333333334187046</v>
      </c>
      <c r="L47" s="24">
        <f t="shared" si="16"/>
        <v>2.4666666664998047</v>
      </c>
      <c r="M47" t="str">
        <f t="shared" si="17"/>
        <v>OK</v>
      </c>
      <c r="N47" s="24">
        <f t="shared" si="18"/>
        <v>5.2833333336166106</v>
      </c>
      <c r="O47" s="24">
        <f t="shared" si="19"/>
        <v>18.216666666325182</v>
      </c>
      <c r="P47" s="24">
        <f t="shared" si="20"/>
        <v>56.916666666744277</v>
      </c>
      <c r="Q47" s="24">
        <f t="shared" si="21"/>
        <v>4.6333333334187046</v>
      </c>
      <c r="R47" s="24">
        <f t="shared" si="22"/>
        <v>2.4666666664998047</v>
      </c>
      <c r="S47" s="24">
        <f t="shared" si="23"/>
        <v>87.516666666604578</v>
      </c>
    </row>
    <row r="48" spans="1:19" x14ac:dyDescent="0.3">
      <c r="A48" t="s">
        <v>207</v>
      </c>
      <c r="B48" s="23">
        <v>46092.522916666669</v>
      </c>
      <c r="C48" s="23">
        <v>46093.078472222223</v>
      </c>
      <c r="D48" s="23">
        <v>46094.446527777778</v>
      </c>
      <c r="E48" s="23">
        <v>46094.911111111112</v>
      </c>
      <c r="F48" s="23">
        <v>46095.210416666669</v>
      </c>
      <c r="G48" s="23">
        <v>46095.288888888892</v>
      </c>
      <c r="H48" s="24">
        <f t="shared" si="12"/>
        <v>13.333333333313931</v>
      </c>
      <c r="I48" s="24">
        <f t="shared" si="13"/>
        <v>32.833333333313931</v>
      </c>
      <c r="J48" s="24">
        <f t="shared" si="14"/>
        <v>11.150000000023283</v>
      </c>
      <c r="K48" s="24">
        <f t="shared" si="15"/>
        <v>7.1833333333488554</v>
      </c>
      <c r="L48" s="24">
        <f t="shared" si="16"/>
        <v>1.8833333333604969</v>
      </c>
      <c r="M48" t="str">
        <f t="shared" si="17"/>
        <v>OK</v>
      </c>
      <c r="N48" s="24">
        <f t="shared" si="18"/>
        <v>13.333333333313931</v>
      </c>
      <c r="O48" s="24">
        <f t="shared" si="19"/>
        <v>32.833333333313931</v>
      </c>
      <c r="P48" s="24">
        <f t="shared" si="20"/>
        <v>11.150000000023283</v>
      </c>
      <c r="Q48" s="24">
        <f t="shared" si="21"/>
        <v>7.1833333333488554</v>
      </c>
      <c r="R48" s="24">
        <f t="shared" si="22"/>
        <v>1.8833333333604969</v>
      </c>
      <c r="S48" s="24">
        <f t="shared" si="23"/>
        <v>66.383333333360497</v>
      </c>
    </row>
    <row r="49" spans="1:19" x14ac:dyDescent="0.3">
      <c r="A49" t="s">
        <v>208</v>
      </c>
      <c r="B49" s="23">
        <v>46093.259722222218</v>
      </c>
      <c r="C49" s="23">
        <v>46093.456944444442</v>
      </c>
      <c r="D49" s="23">
        <v>46094.624305555553</v>
      </c>
      <c r="E49" s="23">
        <v>46095.484722222223</v>
      </c>
      <c r="F49" s="23">
        <v>46095.78125</v>
      </c>
      <c r="G49" s="23">
        <v>46095.88958333333</v>
      </c>
      <c r="H49" s="24">
        <f t="shared" si="12"/>
        <v>4.7333333333954215</v>
      </c>
      <c r="I49" s="24">
        <f t="shared" si="13"/>
        <v>28.016666666662786</v>
      </c>
      <c r="J49" s="24">
        <f t="shared" si="14"/>
        <v>20.650000000081491</v>
      </c>
      <c r="K49" s="24">
        <f t="shared" si="15"/>
        <v>7.1166666666395031</v>
      </c>
      <c r="L49" s="24">
        <f t="shared" si="16"/>
        <v>2.5999999999185093</v>
      </c>
      <c r="M49" t="str">
        <f t="shared" si="17"/>
        <v>OK</v>
      </c>
      <c r="N49" s="24">
        <f t="shared" si="18"/>
        <v>4.7333333333954215</v>
      </c>
      <c r="O49" s="24">
        <f t="shared" si="19"/>
        <v>28.016666666662786</v>
      </c>
      <c r="P49" s="24">
        <f t="shared" si="20"/>
        <v>20.650000000081491</v>
      </c>
      <c r="Q49" s="24">
        <f t="shared" si="21"/>
        <v>7.1166666666395031</v>
      </c>
      <c r="R49" s="24">
        <f t="shared" si="22"/>
        <v>2.5999999999185093</v>
      </c>
      <c r="S49" s="24">
        <f t="shared" si="23"/>
        <v>63.116666666697711</v>
      </c>
    </row>
    <row r="50" spans="1:19" x14ac:dyDescent="0.3">
      <c r="A50" t="s">
        <v>209</v>
      </c>
      <c r="B50" s="23">
        <v>46093.361111111109</v>
      </c>
      <c r="C50" s="23">
        <v>46093.593055555553</v>
      </c>
      <c r="D50" s="23">
        <v>46095.043749999997</v>
      </c>
      <c r="E50" s="23">
        <v>46095.705555555563</v>
      </c>
      <c r="F50" s="23">
        <v>46096.061111111107</v>
      </c>
      <c r="G50" s="23">
        <v>46096.203472222223</v>
      </c>
      <c r="H50" s="24">
        <f t="shared" si="12"/>
        <v>5.5666666666511446</v>
      </c>
      <c r="I50" s="24">
        <f t="shared" si="13"/>
        <v>34.816666666651145</v>
      </c>
      <c r="J50" s="24">
        <f t="shared" si="14"/>
        <v>15.883333333593328</v>
      </c>
      <c r="K50" s="24">
        <f t="shared" si="15"/>
        <v>8.533333333034534</v>
      </c>
      <c r="L50" s="24">
        <f t="shared" si="16"/>
        <v>3.4166666668024845</v>
      </c>
      <c r="M50" t="str">
        <f t="shared" si="17"/>
        <v>OK</v>
      </c>
      <c r="N50" s="24">
        <f t="shared" si="18"/>
        <v>5.5666666666511446</v>
      </c>
      <c r="O50" s="24">
        <f t="shared" si="19"/>
        <v>34.816666666651145</v>
      </c>
      <c r="P50" s="24">
        <f t="shared" si="20"/>
        <v>15.883333333593328</v>
      </c>
      <c r="Q50" s="24">
        <f t="shared" si="21"/>
        <v>8.533333333034534</v>
      </c>
      <c r="R50" s="24">
        <f t="shared" si="22"/>
        <v>3.4166666668024845</v>
      </c>
      <c r="S50" s="24">
        <f t="shared" si="23"/>
        <v>68.216666666732635</v>
      </c>
    </row>
    <row r="51" spans="1:19" x14ac:dyDescent="0.3">
      <c r="A51" t="s">
        <v>210</v>
      </c>
      <c r="B51" s="23">
        <v>46093.53125</v>
      </c>
      <c r="C51" s="23">
        <v>46093.98541666667</v>
      </c>
      <c r="D51" s="23">
        <v>46094.742361111108</v>
      </c>
      <c r="E51" s="23">
        <v>46095.536805555559</v>
      </c>
      <c r="F51" s="23">
        <v>46095.852083333331</v>
      </c>
      <c r="G51" s="23">
        <v>46095.972916666673</v>
      </c>
      <c r="H51" s="24">
        <f t="shared" si="12"/>
        <v>10.900000000081491</v>
      </c>
      <c r="I51" s="24">
        <f t="shared" si="13"/>
        <v>18.166666666511446</v>
      </c>
      <c r="J51" s="24">
        <f t="shared" si="14"/>
        <v>19.066666666825768</v>
      </c>
      <c r="K51" s="24">
        <f t="shared" si="15"/>
        <v>7.5666666665347293</v>
      </c>
      <c r="L51" s="24">
        <f t="shared" si="16"/>
        <v>2.900000000197906</v>
      </c>
      <c r="M51" t="str">
        <f t="shared" si="17"/>
        <v>OK</v>
      </c>
      <c r="N51" s="24">
        <f t="shared" si="18"/>
        <v>10.900000000081491</v>
      </c>
      <c r="O51" s="24">
        <f t="shared" si="19"/>
        <v>18.166666666511446</v>
      </c>
      <c r="P51" s="24">
        <f t="shared" si="20"/>
        <v>19.066666666825768</v>
      </c>
      <c r="Q51" s="24">
        <f t="shared" si="21"/>
        <v>7.5666666665347293</v>
      </c>
      <c r="R51" s="24">
        <f t="shared" si="22"/>
        <v>2.900000000197906</v>
      </c>
      <c r="S51" s="24">
        <f t="shared" si="23"/>
        <v>58.60000000015134</v>
      </c>
    </row>
    <row r="52" spans="1:19" x14ac:dyDescent="0.3">
      <c r="A52" t="s">
        <v>211</v>
      </c>
      <c r="B52" s="23">
        <v>46093.546527777777</v>
      </c>
      <c r="C52" s="23">
        <v>46093.842361111107</v>
      </c>
      <c r="D52" s="23">
        <v>46095.638888888891</v>
      </c>
      <c r="E52" s="23">
        <v>46096.167361111111</v>
      </c>
      <c r="F52" s="23">
        <v>46096.418749999997</v>
      </c>
      <c r="G52" s="23">
        <v>46096.555555555547</v>
      </c>
      <c r="H52" s="24">
        <f t="shared" si="12"/>
        <v>7.0999999999185093</v>
      </c>
      <c r="I52" s="24">
        <f t="shared" si="13"/>
        <v>43.116666666814126</v>
      </c>
      <c r="J52" s="24">
        <f t="shared" si="14"/>
        <v>12.683333333290648</v>
      </c>
      <c r="K52" s="24">
        <f t="shared" si="15"/>
        <v>6.0333333332673647</v>
      </c>
      <c r="L52" s="24">
        <f t="shared" si="16"/>
        <v>3.283333333209157</v>
      </c>
      <c r="M52" t="str">
        <f t="shared" si="17"/>
        <v>OK</v>
      </c>
      <c r="N52" s="24">
        <f t="shared" si="18"/>
        <v>7.0999999999185093</v>
      </c>
      <c r="O52" s="24">
        <f t="shared" si="19"/>
        <v>43.116666666814126</v>
      </c>
      <c r="P52" s="24">
        <f t="shared" si="20"/>
        <v>12.683333333290648</v>
      </c>
      <c r="Q52" s="24">
        <f t="shared" si="21"/>
        <v>6.0333333332673647</v>
      </c>
      <c r="R52" s="24">
        <f t="shared" si="22"/>
        <v>3.283333333209157</v>
      </c>
      <c r="S52" s="24">
        <f t="shared" si="23"/>
        <v>72.216666666499805</v>
      </c>
    </row>
    <row r="53" spans="1:19" x14ac:dyDescent="0.3">
      <c r="A53" t="s">
        <v>212</v>
      </c>
      <c r="B53" s="23">
        <v>46093.681250000001</v>
      </c>
      <c r="C53" s="23">
        <v>46093.914583333331</v>
      </c>
      <c r="D53" s="23">
        <v>46094.575694444437</v>
      </c>
      <c r="E53" s="23">
        <v>46094.878472222219</v>
      </c>
      <c r="F53" s="23">
        <v>46095.179166666669</v>
      </c>
      <c r="G53" s="23">
        <v>46095.259027777778</v>
      </c>
      <c r="H53" s="24">
        <f t="shared" si="12"/>
        <v>5.5999999999185093</v>
      </c>
      <c r="I53" s="24">
        <f t="shared" si="13"/>
        <v>15.866666666523088</v>
      </c>
      <c r="J53" s="24">
        <f t="shared" si="14"/>
        <v>7.2666666667792015</v>
      </c>
      <c r="K53" s="24">
        <f t="shared" si="15"/>
        <v>7.216666666790843</v>
      </c>
      <c r="L53" s="24">
        <f t="shared" si="16"/>
        <v>1.9166666666278616</v>
      </c>
      <c r="M53" t="str">
        <f t="shared" si="17"/>
        <v>OK</v>
      </c>
      <c r="N53" s="24">
        <f t="shared" si="18"/>
        <v>5.5999999999185093</v>
      </c>
      <c r="O53" s="24">
        <f t="shared" si="19"/>
        <v>15.866666666523088</v>
      </c>
      <c r="P53" s="24">
        <f t="shared" si="20"/>
        <v>7.2666666667792015</v>
      </c>
      <c r="Q53" s="24">
        <f t="shared" si="21"/>
        <v>7.216666666790843</v>
      </c>
      <c r="R53" s="24">
        <f t="shared" si="22"/>
        <v>1.9166666666278616</v>
      </c>
      <c r="S53" s="24">
        <f t="shared" si="23"/>
        <v>37.866666666639503</v>
      </c>
    </row>
    <row r="54" spans="1:19" x14ac:dyDescent="0.3">
      <c r="A54" t="s">
        <v>213</v>
      </c>
      <c r="B54" s="23">
        <v>46094.36041666667</v>
      </c>
      <c r="C54" s="23">
        <v>46094.692361111112</v>
      </c>
      <c r="D54" s="23">
        <v>46095.819444444453</v>
      </c>
      <c r="E54" s="23">
        <v>46097.363888888889</v>
      </c>
      <c r="F54" s="23">
        <v>46097.791666666657</v>
      </c>
      <c r="G54" s="23">
        <v>46097.981249999997</v>
      </c>
      <c r="H54" s="24">
        <f t="shared" si="12"/>
        <v>7.96666666661622</v>
      </c>
      <c r="I54" s="24">
        <f t="shared" si="13"/>
        <v>27.050000000162981</v>
      </c>
      <c r="J54" s="24">
        <f t="shared" si="14"/>
        <v>37.066666666476522</v>
      </c>
      <c r="K54" s="24">
        <f t="shared" si="15"/>
        <v>10.266666666429956</v>
      </c>
      <c r="L54" s="24">
        <f t="shared" si="16"/>
        <v>4.5500000001629815</v>
      </c>
      <c r="M54" t="str">
        <f t="shared" si="17"/>
        <v>OK</v>
      </c>
      <c r="N54" s="24">
        <f t="shared" si="18"/>
        <v>7.96666666661622</v>
      </c>
      <c r="O54" s="24">
        <f t="shared" si="19"/>
        <v>27.050000000162981</v>
      </c>
      <c r="P54" s="24">
        <f t="shared" si="20"/>
        <v>37.066666666476522</v>
      </c>
      <c r="Q54" s="24">
        <f t="shared" si="21"/>
        <v>10.266666666429956</v>
      </c>
      <c r="R54" s="24">
        <f t="shared" si="22"/>
        <v>4.5500000001629815</v>
      </c>
      <c r="S54" s="24">
        <f t="shared" si="23"/>
        <v>86.89999999984866</v>
      </c>
    </row>
    <row r="55" spans="1:19" x14ac:dyDescent="0.3">
      <c r="A55" t="s">
        <v>214</v>
      </c>
      <c r="B55" s="23">
        <v>46094.362500000003</v>
      </c>
      <c r="C55" s="23">
        <v>46094.59652777778</v>
      </c>
      <c r="D55" s="23">
        <v>46095.111805555563</v>
      </c>
      <c r="E55" s="23">
        <v>46095.379166666673</v>
      </c>
      <c r="F55" s="23">
        <v>46095.729166666657</v>
      </c>
      <c r="G55" s="23">
        <v>46095.897916666669</v>
      </c>
      <c r="H55" s="24">
        <f t="shared" si="12"/>
        <v>5.6166666666395031</v>
      </c>
      <c r="I55" s="24">
        <f t="shared" si="13"/>
        <v>12.366666666814126</v>
      </c>
      <c r="J55" s="24">
        <f t="shared" si="14"/>
        <v>6.4166666666278616</v>
      </c>
      <c r="K55" s="24">
        <f t="shared" si="15"/>
        <v>8.3999999996158294</v>
      </c>
      <c r="L55" s="24">
        <f t="shared" si="16"/>
        <v>4.0500000002793968</v>
      </c>
      <c r="M55" t="str">
        <f t="shared" si="17"/>
        <v>OK</v>
      </c>
      <c r="N55" s="24">
        <f t="shared" si="18"/>
        <v>5.6166666666395031</v>
      </c>
      <c r="O55" s="24">
        <f t="shared" si="19"/>
        <v>12.366666666814126</v>
      </c>
      <c r="P55" s="24">
        <f t="shared" si="20"/>
        <v>6.4166666666278616</v>
      </c>
      <c r="Q55" s="24">
        <f t="shared" si="21"/>
        <v>8.3999999996158294</v>
      </c>
      <c r="R55" s="24">
        <f t="shared" si="22"/>
        <v>4.0500000002793968</v>
      </c>
      <c r="S55" s="24">
        <f t="shared" si="23"/>
        <v>36.849999999976717</v>
      </c>
    </row>
    <row r="56" spans="1:19" x14ac:dyDescent="0.3">
      <c r="A56" t="s">
        <v>215</v>
      </c>
      <c r="B56" s="23">
        <v>46094.723611111112</v>
      </c>
      <c r="C56" s="23">
        <v>46094.948611111111</v>
      </c>
      <c r="D56" s="23">
        <v>46096.022916666669</v>
      </c>
      <c r="E56" s="23">
        <v>46097.231944444437</v>
      </c>
      <c r="F56" s="23">
        <v>46097.753472222219</v>
      </c>
      <c r="G56" s="23">
        <v>46097.872916666667</v>
      </c>
      <c r="H56" s="24">
        <f t="shared" si="12"/>
        <v>5.3999999999650754</v>
      </c>
      <c r="I56" s="24">
        <f t="shared" si="13"/>
        <v>25.78333333338378</v>
      </c>
      <c r="J56" s="24">
        <f t="shared" si="14"/>
        <v>29.016666666429956</v>
      </c>
      <c r="K56" s="24">
        <f t="shared" si="15"/>
        <v>12.516666666779201</v>
      </c>
      <c r="L56" s="24">
        <f t="shared" si="16"/>
        <v>2.8666666667559184</v>
      </c>
      <c r="M56" t="str">
        <f t="shared" si="17"/>
        <v>OK</v>
      </c>
      <c r="N56" s="24">
        <f t="shared" si="18"/>
        <v>5.3999999999650754</v>
      </c>
      <c r="O56" s="24">
        <f t="shared" si="19"/>
        <v>25.78333333338378</v>
      </c>
      <c r="P56" s="24">
        <f t="shared" si="20"/>
        <v>29.016666666429956</v>
      </c>
      <c r="Q56" s="24">
        <f t="shared" si="21"/>
        <v>12.516666666779201</v>
      </c>
      <c r="R56" s="24">
        <f t="shared" si="22"/>
        <v>2.8666666667559184</v>
      </c>
      <c r="S56" s="24">
        <f t="shared" si="23"/>
        <v>75.583333333313931</v>
      </c>
    </row>
    <row r="57" spans="1:19" x14ac:dyDescent="0.3">
      <c r="A57" t="s">
        <v>216</v>
      </c>
      <c r="B57" s="23">
        <v>46094.763194444437</v>
      </c>
      <c r="C57" s="23">
        <v>46094.88958333333</v>
      </c>
      <c r="D57" s="23">
        <v>46095.767361111109</v>
      </c>
      <c r="E57" s="23">
        <v>46096.137499999997</v>
      </c>
      <c r="F57" s="23">
        <v>46096.573611111111</v>
      </c>
      <c r="G57" s="23">
        <v>46096.693055555559</v>
      </c>
      <c r="H57" s="24">
        <f t="shared" si="12"/>
        <v>3.0333333334419876</v>
      </c>
      <c r="I57" s="24">
        <f t="shared" si="13"/>
        <v>21.066666666709352</v>
      </c>
      <c r="J57" s="24">
        <f t="shared" si="14"/>
        <v>8.8833333333022892</v>
      </c>
      <c r="K57" s="24">
        <f t="shared" si="15"/>
        <v>10.466666666732635</v>
      </c>
      <c r="L57" s="24">
        <f t="shared" si="16"/>
        <v>2.8666666667559184</v>
      </c>
      <c r="M57" t="str">
        <f t="shared" si="17"/>
        <v>OK</v>
      </c>
      <c r="N57" s="24">
        <f t="shared" si="18"/>
        <v>3.0333333334419876</v>
      </c>
      <c r="O57" s="24">
        <f t="shared" si="19"/>
        <v>21.066666666709352</v>
      </c>
      <c r="P57" s="24">
        <f t="shared" si="20"/>
        <v>8.8833333333022892</v>
      </c>
      <c r="Q57" s="24">
        <f t="shared" si="21"/>
        <v>10.466666666732635</v>
      </c>
      <c r="R57" s="24">
        <f t="shared" si="22"/>
        <v>2.8666666667559184</v>
      </c>
      <c r="S57" s="24">
        <f t="shared" si="23"/>
        <v>46.316666666942183</v>
      </c>
    </row>
    <row r="58" spans="1:19" x14ac:dyDescent="0.3">
      <c r="A58" t="s">
        <v>217</v>
      </c>
      <c r="B58" s="23">
        <v>46094.792361111111</v>
      </c>
      <c r="C58" s="23">
        <v>46095.092361111107</v>
      </c>
      <c r="D58" s="23">
        <v>46096.567361111112</v>
      </c>
      <c r="E58" s="23">
        <v>46097.246527777781</v>
      </c>
      <c r="F58" s="23">
        <v>46097.549305555563</v>
      </c>
      <c r="G58" s="23">
        <v>46097.661111111112</v>
      </c>
      <c r="H58" s="24">
        <f t="shared" si="12"/>
        <v>7.1999999998952262</v>
      </c>
      <c r="I58" s="24">
        <f t="shared" si="13"/>
        <v>35.400000000139698</v>
      </c>
      <c r="J58" s="24">
        <f t="shared" si="14"/>
        <v>16.300000000046566</v>
      </c>
      <c r="K58" s="24">
        <f t="shared" si="15"/>
        <v>7.2666666667792015</v>
      </c>
      <c r="L58" s="24">
        <f t="shared" si="16"/>
        <v>2.6833333331742324</v>
      </c>
      <c r="M58" t="str">
        <f t="shared" si="17"/>
        <v>OK</v>
      </c>
      <c r="N58" s="24">
        <f t="shared" si="18"/>
        <v>7.1999999998952262</v>
      </c>
      <c r="O58" s="24">
        <f t="shared" si="19"/>
        <v>35.400000000139698</v>
      </c>
      <c r="P58" s="24">
        <f t="shared" si="20"/>
        <v>16.300000000046566</v>
      </c>
      <c r="Q58" s="24">
        <f t="shared" si="21"/>
        <v>7.2666666667792015</v>
      </c>
      <c r="R58" s="24">
        <f t="shared" si="22"/>
        <v>2.6833333331742324</v>
      </c>
      <c r="S58" s="24">
        <f t="shared" si="23"/>
        <v>68.850000000034925</v>
      </c>
    </row>
    <row r="59" spans="1:19" x14ac:dyDescent="0.3">
      <c r="A59" t="s">
        <v>218</v>
      </c>
      <c r="B59" s="23">
        <v>46094.877083333333</v>
      </c>
      <c r="C59" s="23">
        <v>46095.250694444447</v>
      </c>
      <c r="D59" s="23">
        <v>46096.130555555559</v>
      </c>
      <c r="E59" s="23">
        <v>46096.659722222219</v>
      </c>
      <c r="F59" s="23">
        <v>46097.082638888889</v>
      </c>
      <c r="G59" s="23">
        <v>46097.138888888891</v>
      </c>
      <c r="H59" s="24">
        <f t="shared" si="12"/>
        <v>8.9666666667326353</v>
      </c>
      <c r="I59" s="24">
        <f t="shared" si="13"/>
        <v>21.116666666697711</v>
      </c>
      <c r="J59" s="24">
        <f t="shared" si="14"/>
        <v>12.699999999837019</v>
      </c>
      <c r="K59" s="24">
        <f t="shared" si="15"/>
        <v>10.150000000081491</v>
      </c>
      <c r="L59" s="24">
        <f t="shared" si="16"/>
        <v>1.3500000000349246</v>
      </c>
      <c r="M59" t="str">
        <f t="shared" si="17"/>
        <v>OK</v>
      </c>
      <c r="N59" s="24">
        <f t="shared" si="18"/>
        <v>8.9666666667326353</v>
      </c>
      <c r="O59" s="24">
        <f t="shared" si="19"/>
        <v>21.116666666697711</v>
      </c>
      <c r="P59" s="24">
        <f t="shared" si="20"/>
        <v>12.699999999837019</v>
      </c>
      <c r="Q59" s="24">
        <f t="shared" si="21"/>
        <v>10.150000000081491</v>
      </c>
      <c r="R59" s="24">
        <f t="shared" si="22"/>
        <v>1.3500000000349246</v>
      </c>
      <c r="S59" s="24">
        <f t="shared" si="23"/>
        <v>54.28333333338378</v>
      </c>
    </row>
    <row r="60" spans="1:19" x14ac:dyDescent="0.3">
      <c r="A60" t="s">
        <v>219</v>
      </c>
      <c r="B60" s="23">
        <v>46094.930555555547</v>
      </c>
      <c r="C60" s="23">
        <v>46095.189583333333</v>
      </c>
      <c r="D60" s="23">
        <v>46095.77847222222</v>
      </c>
      <c r="E60" s="23">
        <v>46096.750694444447</v>
      </c>
      <c r="F60" s="23">
        <v>46097.105555555558</v>
      </c>
      <c r="G60" s="23">
        <v>46097.165972222218</v>
      </c>
      <c r="H60" s="24">
        <f t="shared" si="12"/>
        <v>6.2166666668490507</v>
      </c>
      <c r="I60" s="24">
        <f t="shared" si="13"/>
        <v>14.133333333302289</v>
      </c>
      <c r="J60" s="24">
        <f t="shared" si="14"/>
        <v>23.333333333430346</v>
      </c>
      <c r="K60" s="24">
        <f t="shared" si="15"/>
        <v>8.5166666666627862</v>
      </c>
      <c r="L60" s="24">
        <f t="shared" si="16"/>
        <v>1.4499999998370185</v>
      </c>
      <c r="M60" t="str">
        <f t="shared" si="17"/>
        <v>OK</v>
      </c>
      <c r="N60" s="24">
        <f t="shared" si="18"/>
        <v>6.2166666668490507</v>
      </c>
      <c r="O60" s="24">
        <f t="shared" si="19"/>
        <v>14.133333333302289</v>
      </c>
      <c r="P60" s="24">
        <f t="shared" si="20"/>
        <v>23.333333333430346</v>
      </c>
      <c r="Q60" s="24">
        <f t="shared" si="21"/>
        <v>8.5166666666627862</v>
      </c>
      <c r="R60" s="24">
        <f t="shared" si="22"/>
        <v>1.4499999998370185</v>
      </c>
      <c r="S60" s="24">
        <f t="shared" si="23"/>
        <v>53.650000000081491</v>
      </c>
    </row>
    <row r="61" spans="1:19" x14ac:dyDescent="0.3">
      <c r="A61" t="s">
        <v>220</v>
      </c>
      <c r="B61" s="23">
        <v>46095.037499999999</v>
      </c>
      <c r="C61" s="23">
        <v>46095.478472222218</v>
      </c>
      <c r="D61" s="23">
        <v>46096.408333333333</v>
      </c>
      <c r="E61" s="23">
        <v>46096.885416666657</v>
      </c>
      <c r="F61" s="23">
        <v>46097.12777777778</v>
      </c>
      <c r="G61" s="23">
        <v>46097.245833333327</v>
      </c>
      <c r="H61" s="24">
        <f t="shared" si="12"/>
        <v>10.583333333255723</v>
      </c>
      <c r="I61" s="24">
        <f t="shared" si="13"/>
        <v>22.31666666676756</v>
      </c>
      <c r="J61" s="24">
        <f t="shared" si="14"/>
        <v>11.449999999778811</v>
      </c>
      <c r="K61" s="24">
        <f t="shared" si="15"/>
        <v>5.8166666669421829</v>
      </c>
      <c r="L61" s="24">
        <f t="shared" si="16"/>
        <v>2.8333333331393078</v>
      </c>
      <c r="M61" t="str">
        <f t="shared" si="17"/>
        <v>OK</v>
      </c>
      <c r="N61" s="24">
        <f t="shared" si="18"/>
        <v>10.583333333255723</v>
      </c>
      <c r="O61" s="24">
        <f t="shared" si="19"/>
        <v>22.31666666676756</v>
      </c>
      <c r="P61" s="24">
        <f t="shared" si="20"/>
        <v>11.449999999778811</v>
      </c>
      <c r="Q61" s="24">
        <f t="shared" si="21"/>
        <v>5.8166666669421829</v>
      </c>
      <c r="R61" s="24">
        <f t="shared" si="22"/>
        <v>2.8333333331393078</v>
      </c>
      <c r="S61" s="24">
        <f t="shared" si="23"/>
        <v>52.999999999883585</v>
      </c>
    </row>
    <row r="62" spans="1:19" x14ac:dyDescent="0.3">
      <c r="A62" t="s">
        <v>221</v>
      </c>
      <c r="B62" s="23">
        <v>46095.122916666667</v>
      </c>
      <c r="C62" s="23">
        <v>46095.397916666669</v>
      </c>
      <c r="D62" s="23">
        <v>46096.34097222222</v>
      </c>
      <c r="E62" s="23">
        <v>46096.995138888888</v>
      </c>
      <c r="F62" s="23">
        <v>46097.390277777777</v>
      </c>
      <c r="G62" s="23">
        <v>46097.544444444437</v>
      </c>
      <c r="H62" s="24">
        <f t="shared" si="12"/>
        <v>6.6000000000349246</v>
      </c>
      <c r="I62" s="24">
        <f t="shared" si="13"/>
        <v>22.633333333244082</v>
      </c>
      <c r="J62" s="24">
        <f t="shared" si="14"/>
        <v>15.700000000011642</v>
      </c>
      <c r="K62" s="24">
        <f t="shared" si="15"/>
        <v>9.4833333333372138</v>
      </c>
      <c r="L62" s="24">
        <f t="shared" si="16"/>
        <v>3.6999999998370185</v>
      </c>
      <c r="M62" t="str">
        <f t="shared" si="17"/>
        <v>OK</v>
      </c>
      <c r="N62" s="24">
        <f t="shared" si="18"/>
        <v>6.6000000000349246</v>
      </c>
      <c r="O62" s="24">
        <f t="shared" si="19"/>
        <v>22.633333333244082</v>
      </c>
      <c r="P62" s="24">
        <f t="shared" si="20"/>
        <v>15.700000000011642</v>
      </c>
      <c r="Q62" s="24">
        <f t="shared" si="21"/>
        <v>9.4833333333372138</v>
      </c>
      <c r="R62" s="24">
        <f t="shared" si="22"/>
        <v>3.6999999998370185</v>
      </c>
      <c r="S62" s="24">
        <f t="shared" si="23"/>
        <v>58.11666666646488</v>
      </c>
    </row>
    <row r="63" spans="1:19" x14ac:dyDescent="0.3">
      <c r="A63" t="s">
        <v>222</v>
      </c>
      <c r="B63" s="23">
        <v>46095.311805555553</v>
      </c>
      <c r="C63" s="23">
        <v>46095.543749999997</v>
      </c>
      <c r="D63" s="23">
        <v>46096.072916666657</v>
      </c>
      <c r="E63" s="23">
        <v>46096.586805555547</v>
      </c>
      <c r="F63" s="23">
        <v>46096.84375</v>
      </c>
      <c r="G63" s="23">
        <v>46097.006249999999</v>
      </c>
      <c r="H63" s="24">
        <f t="shared" si="12"/>
        <v>5.5666666666511446</v>
      </c>
      <c r="I63" s="24">
        <f t="shared" si="13"/>
        <v>12.699999999837019</v>
      </c>
      <c r="J63" s="24">
        <f t="shared" si="14"/>
        <v>12.333333333372138</v>
      </c>
      <c r="K63" s="24">
        <f t="shared" si="15"/>
        <v>6.1666666668606922</v>
      </c>
      <c r="L63" s="24">
        <f t="shared" si="16"/>
        <v>3.8999999999650754</v>
      </c>
      <c r="M63" t="str">
        <f t="shared" si="17"/>
        <v>OK</v>
      </c>
      <c r="N63" s="24">
        <f t="shared" si="18"/>
        <v>5.5666666666511446</v>
      </c>
      <c r="O63" s="24">
        <f t="shared" si="19"/>
        <v>12.699999999837019</v>
      </c>
      <c r="P63" s="24">
        <f t="shared" si="20"/>
        <v>12.333333333372138</v>
      </c>
      <c r="Q63" s="24">
        <f t="shared" si="21"/>
        <v>6.1666666668606922</v>
      </c>
      <c r="R63" s="24">
        <f t="shared" si="22"/>
        <v>3.8999999999650754</v>
      </c>
      <c r="S63" s="24">
        <f t="shared" si="23"/>
        <v>40.666666666686069</v>
      </c>
    </row>
    <row r="64" spans="1:19" x14ac:dyDescent="0.3">
      <c r="A64" t="s">
        <v>223</v>
      </c>
      <c r="B64" s="23">
        <v>46095.603472222218</v>
      </c>
      <c r="C64" s="23">
        <v>46095.786111111112</v>
      </c>
      <c r="D64" s="23">
        <v>46096.518750000003</v>
      </c>
      <c r="E64" s="23">
        <v>46096.435416666667</v>
      </c>
      <c r="F64" s="23">
        <v>46096.977777777778</v>
      </c>
      <c r="G64" s="23">
        <v>46097.074999999997</v>
      </c>
      <c r="H64" s="24">
        <f t="shared" si="12"/>
        <v>4.3833333334769122</v>
      </c>
      <c r="I64" s="24">
        <f t="shared" si="13"/>
        <v>17.583333333372138</v>
      </c>
      <c r="J64" s="24">
        <f t="shared" si="14"/>
        <v>-2.0000000000582077</v>
      </c>
      <c r="K64" s="24">
        <f t="shared" si="15"/>
        <v>13.016666666662786</v>
      </c>
      <c r="L64" s="24">
        <f t="shared" si="16"/>
        <v>2.3333333332557231</v>
      </c>
      <c r="M64" t="str">
        <f t="shared" si="17"/>
        <v>Negative duration</v>
      </c>
      <c r="N64" s="24" t="str">
        <f t="shared" si="18"/>
        <v/>
      </c>
      <c r="O64" s="24" t="str">
        <f t="shared" si="19"/>
        <v/>
      </c>
      <c r="P64" s="24" t="str">
        <f t="shared" si="20"/>
        <v/>
      </c>
      <c r="Q64" s="24" t="str">
        <f t="shared" si="21"/>
        <v/>
      </c>
      <c r="R64" s="24" t="str">
        <f t="shared" si="22"/>
        <v/>
      </c>
      <c r="S64" s="24" t="str">
        <f t="shared" si="23"/>
        <v/>
      </c>
    </row>
    <row r="65" spans="1:19" x14ac:dyDescent="0.3">
      <c r="A65" t="s">
        <v>224</v>
      </c>
      <c r="B65" s="23">
        <v>46095.974305555559</v>
      </c>
      <c r="C65" s="23">
        <v>46096.18472222222</v>
      </c>
      <c r="D65" s="23">
        <v>46096.630555555559</v>
      </c>
      <c r="E65" s="23"/>
      <c r="F65" s="23">
        <v>46097.011805555558</v>
      </c>
      <c r="G65" s="23">
        <v>46097.120138888888</v>
      </c>
      <c r="H65" s="24">
        <f t="shared" si="12"/>
        <v>5.0499999998719431</v>
      </c>
      <c r="I65" s="24">
        <f t="shared" si="13"/>
        <v>10.700000000128057</v>
      </c>
      <c r="J65" s="24" t="str">
        <f t="shared" si="14"/>
        <v/>
      </c>
      <c r="K65" s="24" t="str">
        <f t="shared" si="15"/>
        <v/>
      </c>
      <c r="L65" s="24">
        <f t="shared" si="16"/>
        <v>2.5999999999185093</v>
      </c>
      <c r="M65" t="str">
        <f t="shared" si="17"/>
        <v>Missing timestamp</v>
      </c>
      <c r="N65" s="24" t="str">
        <f t="shared" si="18"/>
        <v/>
      </c>
      <c r="O65" s="24" t="str">
        <f t="shared" si="19"/>
        <v/>
      </c>
      <c r="P65" s="24" t="str">
        <f t="shared" si="20"/>
        <v/>
      </c>
      <c r="Q65" s="24" t="str">
        <f t="shared" si="21"/>
        <v/>
      </c>
      <c r="R65" s="24" t="str">
        <f t="shared" si="22"/>
        <v/>
      </c>
      <c r="S65" s="24" t="str">
        <f t="shared" si="23"/>
        <v/>
      </c>
    </row>
    <row r="66" spans="1:19" x14ac:dyDescent="0.3">
      <c r="A66" t="s">
        <v>225</v>
      </c>
      <c r="B66" s="23">
        <v>46096.009027777778</v>
      </c>
      <c r="C66" s="23">
        <v>46096.188888888893</v>
      </c>
      <c r="D66" s="23">
        <v>46096.862500000003</v>
      </c>
      <c r="E66" s="23">
        <v>46097.461111111108</v>
      </c>
      <c r="F66" s="23">
        <v>46097.646527777782</v>
      </c>
      <c r="G66" s="23">
        <v>46097.773611111108</v>
      </c>
      <c r="H66" s="24">
        <f t="shared" si="12"/>
        <v>4.3166666667675599</v>
      </c>
      <c r="I66" s="24">
        <f t="shared" si="13"/>
        <v>16.166666666627862</v>
      </c>
      <c r="J66" s="24">
        <f t="shared" si="14"/>
        <v>14.366666666523088</v>
      </c>
      <c r="K66" s="24">
        <f t="shared" si="15"/>
        <v>4.4500000001862645</v>
      </c>
      <c r="L66" s="24">
        <f t="shared" si="16"/>
        <v>3.0499999998137355</v>
      </c>
      <c r="M66" t="str">
        <f t="shared" si="17"/>
        <v>OK</v>
      </c>
      <c r="N66" s="24">
        <f t="shared" si="18"/>
        <v>4.3166666667675599</v>
      </c>
      <c r="O66" s="24">
        <f t="shared" si="19"/>
        <v>16.166666666627862</v>
      </c>
      <c r="P66" s="24">
        <f t="shared" si="20"/>
        <v>14.366666666523088</v>
      </c>
      <c r="Q66" s="24">
        <f t="shared" si="21"/>
        <v>4.4500000001862645</v>
      </c>
      <c r="R66" s="24">
        <f t="shared" si="22"/>
        <v>3.0499999998137355</v>
      </c>
      <c r="S66" s="24">
        <f t="shared" si="23"/>
        <v>42.349999999918509</v>
      </c>
    </row>
    <row r="67" spans="1:19" x14ac:dyDescent="0.3">
      <c r="A67" t="s">
        <v>226</v>
      </c>
      <c r="B67" s="23">
        <v>46096.037499999999</v>
      </c>
      <c r="C67" s="23">
        <v>46096.241666666669</v>
      </c>
      <c r="D67" s="23">
        <v>46097.04791666667</v>
      </c>
      <c r="E67" s="23">
        <v>46097.543749999997</v>
      </c>
      <c r="F67" s="23">
        <v>46098.070138888892</v>
      </c>
      <c r="G67" s="23">
        <v>46098.163194444453</v>
      </c>
      <c r="H67" s="24">
        <f t="shared" si="12"/>
        <v>4.9000000000814907</v>
      </c>
      <c r="I67" s="24">
        <f t="shared" si="13"/>
        <v>19.350000000034925</v>
      </c>
      <c r="J67" s="24">
        <f t="shared" si="14"/>
        <v>11.89999999984866</v>
      </c>
      <c r="K67" s="24">
        <f t="shared" si="15"/>
        <v>12.633333333476912</v>
      </c>
      <c r="L67" s="24">
        <f t="shared" si="16"/>
        <v>2.2333333334536292</v>
      </c>
      <c r="M67" t="str">
        <f t="shared" si="17"/>
        <v>OK</v>
      </c>
      <c r="N67" s="24">
        <f t="shared" si="18"/>
        <v>4.9000000000814907</v>
      </c>
      <c r="O67" s="24">
        <f t="shared" si="19"/>
        <v>19.350000000034925</v>
      </c>
      <c r="P67" s="24">
        <f t="shared" si="20"/>
        <v>11.89999999984866</v>
      </c>
      <c r="Q67" s="24">
        <f t="shared" si="21"/>
        <v>12.633333333476912</v>
      </c>
      <c r="R67" s="24">
        <f t="shared" si="22"/>
        <v>2.2333333334536292</v>
      </c>
      <c r="S67" s="24">
        <f t="shared" si="23"/>
        <v>51.016666666895617</v>
      </c>
    </row>
    <row r="68" spans="1:19" x14ac:dyDescent="0.3">
      <c r="A68" t="s">
        <v>227</v>
      </c>
      <c r="B68" s="23">
        <v>46096.088194444441</v>
      </c>
      <c r="C68" s="23">
        <v>46096.421527777777</v>
      </c>
      <c r="D68" s="23">
        <v>46097.241666666669</v>
      </c>
      <c r="E68" s="23">
        <v>46098.260416666657</v>
      </c>
      <c r="F68" s="23">
        <v>46098.55</v>
      </c>
      <c r="G68" s="23">
        <v>46098.665277777778</v>
      </c>
      <c r="H68" s="24">
        <f t="shared" si="12"/>
        <v>8.0000000000582077</v>
      </c>
      <c r="I68" s="24">
        <f t="shared" si="13"/>
        <v>19.683333333407063</v>
      </c>
      <c r="J68" s="24">
        <f t="shared" si="14"/>
        <v>24.449999999720603</v>
      </c>
      <c r="K68" s="24">
        <f t="shared" si="15"/>
        <v>6.9500000003026798</v>
      </c>
      <c r="L68" s="24">
        <f t="shared" si="16"/>
        <v>2.7666666666045785</v>
      </c>
      <c r="M68" t="str">
        <f t="shared" si="17"/>
        <v>OK</v>
      </c>
      <c r="N68" s="24">
        <f t="shared" si="18"/>
        <v>8.0000000000582077</v>
      </c>
      <c r="O68" s="24">
        <f t="shared" si="19"/>
        <v>19.683333333407063</v>
      </c>
      <c r="P68" s="24">
        <f t="shared" si="20"/>
        <v>24.449999999720603</v>
      </c>
      <c r="Q68" s="24">
        <f t="shared" si="21"/>
        <v>6.9500000003026798</v>
      </c>
      <c r="R68" s="24">
        <f t="shared" si="22"/>
        <v>2.7666666666045785</v>
      </c>
      <c r="S68" s="24">
        <f t="shared" si="23"/>
        <v>61.850000000093132</v>
      </c>
    </row>
    <row r="69" spans="1:19" x14ac:dyDescent="0.3">
      <c r="A69" t="s">
        <v>228</v>
      </c>
      <c r="B69" s="23">
        <v>46096.102083333331</v>
      </c>
      <c r="C69" s="23">
        <v>46096.197916666657</v>
      </c>
      <c r="D69" s="23">
        <v>46097.206250000003</v>
      </c>
      <c r="E69" s="23">
        <v>46097.931250000001</v>
      </c>
      <c r="F69" s="23">
        <v>46098.191666666673</v>
      </c>
      <c r="G69" s="23">
        <v>46098.265972222223</v>
      </c>
      <c r="H69" s="24">
        <f t="shared" si="12"/>
        <v>2.2999999998137355</v>
      </c>
      <c r="I69" s="24">
        <f t="shared" si="13"/>
        <v>24.20000000030268</v>
      </c>
      <c r="J69" s="24">
        <f t="shared" si="14"/>
        <v>17.399999999965075</v>
      </c>
      <c r="K69" s="24">
        <f t="shared" si="15"/>
        <v>6.2500000001164153</v>
      </c>
      <c r="L69" s="24">
        <f t="shared" si="16"/>
        <v>1.783333333209157</v>
      </c>
      <c r="M69" t="str">
        <f t="shared" si="17"/>
        <v>OK</v>
      </c>
      <c r="N69" s="24">
        <f t="shared" si="18"/>
        <v>2.2999999998137355</v>
      </c>
      <c r="O69" s="24">
        <f t="shared" si="19"/>
        <v>24.20000000030268</v>
      </c>
      <c r="P69" s="24">
        <f t="shared" si="20"/>
        <v>17.399999999965075</v>
      </c>
      <c r="Q69" s="24">
        <f t="shared" si="21"/>
        <v>6.2500000001164153</v>
      </c>
      <c r="R69" s="24">
        <f t="shared" si="22"/>
        <v>1.783333333209157</v>
      </c>
      <c r="S69" s="24">
        <f t="shared" si="23"/>
        <v>51.933333333407063</v>
      </c>
    </row>
    <row r="70" spans="1:19" x14ac:dyDescent="0.3">
      <c r="A70" t="s">
        <v>229</v>
      </c>
      <c r="B70" s="23">
        <v>46096.199305555558</v>
      </c>
      <c r="C70" s="23"/>
      <c r="D70" s="23">
        <v>46097.026388888888</v>
      </c>
      <c r="E70" s="23">
        <v>46097.990972222222</v>
      </c>
      <c r="F70" s="23">
        <v>46098.206944444442</v>
      </c>
      <c r="G70" s="23">
        <v>46098.303472222222</v>
      </c>
      <c r="H70" s="24" t="str">
        <f t="shared" ref="H70:H101" si="24">IF(OR(B70="",C70=""),"",(C70-B70)*24)</f>
        <v/>
      </c>
      <c r="I70" s="24" t="str">
        <f t="shared" ref="I70:I101" si="25">IF(OR(C70="",D70=""),"",(D70-C70)*24)</f>
        <v/>
      </c>
      <c r="J70" s="24">
        <f t="shared" ref="J70:J101" si="26">IF(OR(D70="",E70=""),"",(E70-D70)*24)</f>
        <v>23.150000000023283</v>
      </c>
      <c r="K70" s="24">
        <f t="shared" ref="K70:K101" si="27">IF(OR(E70="",F70=""),"",(F70-E70)*24)</f>
        <v>5.1833333332906477</v>
      </c>
      <c r="L70" s="24">
        <f t="shared" ref="L70:L101" si="28">IF(OR(F70="",G70=""),"",(G70-F70)*24)</f>
        <v>2.3166666667093523</v>
      </c>
      <c r="M70" t="str">
        <f t="shared" ref="M70:M101" si="29">IF(COUNT(B70:G70)&lt;6,"Missing timestamp",IF(MIN(H70:L70)&lt;0,"Negative duration","OK"))</f>
        <v>Missing timestamp</v>
      </c>
      <c r="N70" s="24" t="str">
        <f t="shared" ref="N70:N101" si="30">IF($M70="OK",H70,"")</f>
        <v/>
      </c>
      <c r="O70" s="24" t="str">
        <f t="shared" ref="O70:O101" si="31">IF($M70="OK",I70,"")</f>
        <v/>
      </c>
      <c r="P70" s="24" t="str">
        <f t="shared" ref="P70:P101" si="32">IF($M70="OK",J70,"")</f>
        <v/>
      </c>
      <c r="Q70" s="24" t="str">
        <f t="shared" ref="Q70:Q101" si="33">IF($M70="OK",K70,"")</f>
        <v/>
      </c>
      <c r="R70" s="24" t="str">
        <f t="shared" ref="R70:R101" si="34">IF($M70="OK",L70,"")</f>
        <v/>
      </c>
      <c r="S70" s="24" t="str">
        <f t="shared" ref="S70:S101" si="35">IF(M70="OK",SUM(N70:R70),"")</f>
        <v/>
      </c>
    </row>
    <row r="71" spans="1:19" x14ac:dyDescent="0.3">
      <c r="A71" t="s">
        <v>230</v>
      </c>
      <c r="B71" s="23">
        <v>46096.654166666667</v>
      </c>
      <c r="C71" s="23">
        <v>46096.930555555547</v>
      </c>
      <c r="D71" s="23">
        <v>46097.434027777781</v>
      </c>
      <c r="E71" s="23">
        <v>46098.138888888891</v>
      </c>
      <c r="F71" s="23">
        <v>46098.603472222218</v>
      </c>
      <c r="G71" s="23">
        <v>46098.737500000003</v>
      </c>
      <c r="H71" s="24">
        <f t="shared" si="24"/>
        <v>6.6333333331276663</v>
      </c>
      <c r="I71" s="24">
        <f t="shared" si="25"/>
        <v>12.083333333604969</v>
      </c>
      <c r="J71" s="24">
        <f t="shared" si="26"/>
        <v>16.916666666627862</v>
      </c>
      <c r="K71" s="24">
        <f t="shared" si="27"/>
        <v>11.14999999984866</v>
      </c>
      <c r="L71" s="24">
        <f t="shared" si="28"/>
        <v>3.2166666668490507</v>
      </c>
      <c r="M71" t="str">
        <f t="shared" si="29"/>
        <v>OK</v>
      </c>
      <c r="N71" s="24">
        <f t="shared" si="30"/>
        <v>6.6333333331276663</v>
      </c>
      <c r="O71" s="24">
        <f t="shared" si="31"/>
        <v>12.083333333604969</v>
      </c>
      <c r="P71" s="24">
        <f t="shared" si="32"/>
        <v>16.916666666627862</v>
      </c>
      <c r="Q71" s="24">
        <f t="shared" si="33"/>
        <v>11.14999999984866</v>
      </c>
      <c r="R71" s="24">
        <f t="shared" si="34"/>
        <v>3.2166666668490507</v>
      </c>
      <c r="S71" s="24">
        <f t="shared" si="35"/>
        <v>50.000000000058208</v>
      </c>
    </row>
    <row r="72" spans="1:19" x14ac:dyDescent="0.3">
      <c r="A72" t="s">
        <v>231</v>
      </c>
      <c r="B72" s="23">
        <v>46096.710416666669</v>
      </c>
      <c r="C72" s="23">
        <v>46096.945138888892</v>
      </c>
      <c r="D72" s="23">
        <v>46098.015972222223</v>
      </c>
      <c r="E72" s="23">
        <v>46098.438194444447</v>
      </c>
      <c r="F72" s="23">
        <v>46098.915972222218</v>
      </c>
      <c r="G72" s="23">
        <v>46099.06527777778</v>
      </c>
      <c r="H72" s="24">
        <f t="shared" si="24"/>
        <v>5.6333333333604969</v>
      </c>
      <c r="I72" s="24">
        <f t="shared" si="25"/>
        <v>25.699999999953434</v>
      </c>
      <c r="J72" s="24">
        <f t="shared" si="26"/>
        <v>10.133333333360497</v>
      </c>
      <c r="K72" s="24">
        <f t="shared" si="27"/>
        <v>11.466666666499805</v>
      </c>
      <c r="L72" s="24">
        <f t="shared" si="28"/>
        <v>3.5833333334885538</v>
      </c>
      <c r="M72" t="str">
        <f t="shared" si="29"/>
        <v>OK</v>
      </c>
      <c r="N72" s="24">
        <f t="shared" si="30"/>
        <v>5.6333333333604969</v>
      </c>
      <c r="O72" s="24">
        <f t="shared" si="31"/>
        <v>25.699999999953434</v>
      </c>
      <c r="P72" s="24">
        <f t="shared" si="32"/>
        <v>10.133333333360497</v>
      </c>
      <c r="Q72" s="24">
        <f t="shared" si="33"/>
        <v>11.466666666499805</v>
      </c>
      <c r="R72" s="24">
        <f t="shared" si="34"/>
        <v>3.5833333334885538</v>
      </c>
      <c r="S72" s="24">
        <f t="shared" si="35"/>
        <v>56.516666666662786</v>
      </c>
    </row>
    <row r="73" spans="1:19" x14ac:dyDescent="0.3">
      <c r="A73" t="s">
        <v>232</v>
      </c>
      <c r="B73" s="23">
        <v>46096.73541666667</v>
      </c>
      <c r="C73" s="23">
        <v>46096.930555555547</v>
      </c>
      <c r="D73" s="23">
        <v>46098.020833333343</v>
      </c>
      <c r="E73" s="23">
        <v>46098.655555555553</v>
      </c>
      <c r="F73" s="23">
        <v>46098.949305555558</v>
      </c>
      <c r="G73" s="23">
        <v>46099.011805555558</v>
      </c>
      <c r="H73" s="24">
        <f t="shared" si="24"/>
        <v>4.6833333330578171</v>
      </c>
      <c r="I73" s="24">
        <f t="shared" si="25"/>
        <v>26.166666667093523</v>
      </c>
      <c r="J73" s="24">
        <f t="shared" si="26"/>
        <v>15.233333333046176</v>
      </c>
      <c r="K73" s="24">
        <f t="shared" si="27"/>
        <v>7.0500000001047738</v>
      </c>
      <c r="L73" s="24">
        <f t="shared" si="28"/>
        <v>1.5</v>
      </c>
      <c r="M73" t="str">
        <f t="shared" si="29"/>
        <v>OK</v>
      </c>
      <c r="N73" s="24">
        <f t="shared" si="30"/>
        <v>4.6833333330578171</v>
      </c>
      <c r="O73" s="24">
        <f t="shared" si="31"/>
        <v>26.166666667093523</v>
      </c>
      <c r="P73" s="24">
        <f t="shared" si="32"/>
        <v>15.233333333046176</v>
      </c>
      <c r="Q73" s="24">
        <f t="shared" si="33"/>
        <v>7.0500000001047738</v>
      </c>
      <c r="R73" s="24">
        <f t="shared" si="34"/>
        <v>1.5</v>
      </c>
      <c r="S73" s="24">
        <f t="shared" si="35"/>
        <v>54.633333333302289</v>
      </c>
    </row>
    <row r="74" spans="1:19" x14ac:dyDescent="0.3">
      <c r="A74" t="s">
        <v>233</v>
      </c>
      <c r="B74" s="23">
        <v>46096.754166666673</v>
      </c>
      <c r="C74" s="23">
        <v>46096.838194444441</v>
      </c>
      <c r="D74" s="23">
        <v>46097.731944444437</v>
      </c>
      <c r="E74" s="23">
        <v>46097.788888888892</v>
      </c>
      <c r="F74" s="23">
        <v>46097.962500000001</v>
      </c>
      <c r="G74" s="23">
        <v>46098.1</v>
      </c>
      <c r="H74" s="24">
        <f t="shared" si="24"/>
        <v>2.0166666664299555</v>
      </c>
      <c r="I74" s="24">
        <f t="shared" si="25"/>
        <v>21.449999999895226</v>
      </c>
      <c r="J74" s="24">
        <f t="shared" si="26"/>
        <v>1.3666666669305414</v>
      </c>
      <c r="K74" s="24">
        <f t="shared" si="27"/>
        <v>4.1666666666278616</v>
      </c>
      <c r="L74" s="24">
        <f t="shared" si="28"/>
        <v>3.2999999999301508</v>
      </c>
      <c r="M74" t="str">
        <f t="shared" si="29"/>
        <v>OK</v>
      </c>
      <c r="N74" s="24">
        <f t="shared" si="30"/>
        <v>2.0166666664299555</v>
      </c>
      <c r="O74" s="24">
        <f t="shared" si="31"/>
        <v>21.449999999895226</v>
      </c>
      <c r="P74" s="24">
        <f t="shared" si="32"/>
        <v>1.3666666669305414</v>
      </c>
      <c r="Q74" s="24">
        <f t="shared" si="33"/>
        <v>4.1666666666278616</v>
      </c>
      <c r="R74" s="24">
        <f t="shared" si="34"/>
        <v>3.2999999999301508</v>
      </c>
      <c r="S74" s="24">
        <f t="shared" si="35"/>
        <v>32.299999999813735</v>
      </c>
    </row>
    <row r="75" spans="1:19" x14ac:dyDescent="0.3">
      <c r="A75" t="s">
        <v>234</v>
      </c>
      <c r="B75" s="23">
        <v>46096.782638888893</v>
      </c>
      <c r="C75" s="23">
        <v>46096.977777777778</v>
      </c>
      <c r="D75" s="23">
        <v>46097.915277777778</v>
      </c>
      <c r="E75" s="23">
        <v>46098.241666666669</v>
      </c>
      <c r="F75" s="23">
        <v>46098.654166666667</v>
      </c>
      <c r="G75" s="23">
        <v>46098.730555555558</v>
      </c>
      <c r="H75" s="24">
        <f t="shared" si="24"/>
        <v>4.6833333332324401</v>
      </c>
      <c r="I75" s="24">
        <f t="shared" si="25"/>
        <v>22.5</v>
      </c>
      <c r="J75" s="24">
        <f t="shared" si="26"/>
        <v>7.8333333333721384</v>
      </c>
      <c r="K75" s="24">
        <f t="shared" si="27"/>
        <v>9.8999999999650754</v>
      </c>
      <c r="L75" s="24">
        <f t="shared" si="28"/>
        <v>1.8333333333721384</v>
      </c>
      <c r="M75" t="str">
        <f t="shared" si="29"/>
        <v>OK</v>
      </c>
      <c r="N75" s="24">
        <f t="shared" si="30"/>
        <v>4.6833333332324401</v>
      </c>
      <c r="O75" s="24">
        <f t="shared" si="31"/>
        <v>22.5</v>
      </c>
      <c r="P75" s="24">
        <f t="shared" si="32"/>
        <v>7.8333333333721384</v>
      </c>
      <c r="Q75" s="24">
        <f t="shared" si="33"/>
        <v>9.8999999999650754</v>
      </c>
      <c r="R75" s="24">
        <f t="shared" si="34"/>
        <v>1.8333333333721384</v>
      </c>
      <c r="S75" s="24">
        <f t="shared" si="35"/>
        <v>46.749999999941792</v>
      </c>
    </row>
    <row r="76" spans="1:19" x14ac:dyDescent="0.3">
      <c r="A76" t="s">
        <v>235</v>
      </c>
      <c r="B76" s="23">
        <v>46096.847222222219</v>
      </c>
      <c r="C76" s="23">
        <v>46096.993750000001</v>
      </c>
      <c r="D76" s="23">
        <v>46097.621527777781</v>
      </c>
      <c r="E76" s="23">
        <v>46099.038194444453</v>
      </c>
      <c r="F76" s="23">
        <v>46099.522916666669</v>
      </c>
      <c r="G76" s="23">
        <v>46099.720833333333</v>
      </c>
      <c r="H76" s="24">
        <f t="shared" si="24"/>
        <v>3.5166666667792015</v>
      </c>
      <c r="I76" s="24">
        <f t="shared" si="25"/>
        <v>15.066666666709352</v>
      </c>
      <c r="J76" s="24">
        <f t="shared" si="26"/>
        <v>34.000000000116415</v>
      </c>
      <c r="K76" s="24">
        <f t="shared" si="27"/>
        <v>11.633333333185874</v>
      </c>
      <c r="L76" s="24">
        <f t="shared" si="28"/>
        <v>4.7499999999417923</v>
      </c>
      <c r="M76" t="str">
        <f t="shared" si="29"/>
        <v>OK</v>
      </c>
      <c r="N76" s="24">
        <f t="shared" si="30"/>
        <v>3.5166666667792015</v>
      </c>
      <c r="O76" s="24">
        <f t="shared" si="31"/>
        <v>15.066666666709352</v>
      </c>
      <c r="P76" s="24">
        <f t="shared" si="32"/>
        <v>34.000000000116415</v>
      </c>
      <c r="Q76" s="24">
        <f t="shared" si="33"/>
        <v>11.633333333185874</v>
      </c>
      <c r="R76" s="24">
        <f t="shared" si="34"/>
        <v>4.7499999999417923</v>
      </c>
      <c r="S76" s="24">
        <f t="shared" si="35"/>
        <v>68.966666666732635</v>
      </c>
    </row>
    <row r="77" spans="1:19" x14ac:dyDescent="0.3">
      <c r="A77" t="s">
        <v>236</v>
      </c>
      <c r="B77" s="23">
        <v>46096.854861111111</v>
      </c>
      <c r="C77" s="23">
        <v>46097.010416666657</v>
      </c>
      <c r="D77" s="23">
        <v>46097.827777777777</v>
      </c>
      <c r="E77" s="23">
        <v>46098.578472222223</v>
      </c>
      <c r="F77" s="23">
        <v>46098.830555555563</v>
      </c>
      <c r="G77" s="23">
        <v>46098.949305555558</v>
      </c>
      <c r="H77" s="24">
        <f t="shared" si="24"/>
        <v>3.7333333331043832</v>
      </c>
      <c r="I77" s="24">
        <f t="shared" si="25"/>
        <v>19.616666666872334</v>
      </c>
      <c r="J77" s="24">
        <f t="shared" si="26"/>
        <v>18.016666666720994</v>
      </c>
      <c r="K77" s="24">
        <f t="shared" si="27"/>
        <v>6.0500000001629815</v>
      </c>
      <c r="L77" s="24">
        <f t="shared" si="28"/>
        <v>2.8499999998603016</v>
      </c>
      <c r="M77" t="str">
        <f t="shared" si="29"/>
        <v>OK</v>
      </c>
      <c r="N77" s="24">
        <f t="shared" si="30"/>
        <v>3.7333333331043832</v>
      </c>
      <c r="O77" s="24">
        <f t="shared" si="31"/>
        <v>19.616666666872334</v>
      </c>
      <c r="P77" s="24">
        <f t="shared" si="32"/>
        <v>18.016666666720994</v>
      </c>
      <c r="Q77" s="24">
        <f t="shared" si="33"/>
        <v>6.0500000001629815</v>
      </c>
      <c r="R77" s="24">
        <f t="shared" si="34"/>
        <v>2.8499999998603016</v>
      </c>
      <c r="S77" s="24">
        <f t="shared" si="35"/>
        <v>50.266666666720994</v>
      </c>
    </row>
    <row r="78" spans="1:19" x14ac:dyDescent="0.3">
      <c r="A78" t="s">
        <v>237</v>
      </c>
      <c r="B78" s="23">
        <v>46097.030555555553</v>
      </c>
      <c r="C78" s="23">
        <v>46097.361111111109</v>
      </c>
      <c r="D78" s="23">
        <v>46098.34375</v>
      </c>
      <c r="E78" s="23">
        <v>46098.992361111108</v>
      </c>
      <c r="F78" s="23">
        <v>46099.24722222222</v>
      </c>
      <c r="G78" s="23">
        <v>46099.334027777782</v>
      </c>
      <c r="H78" s="24">
        <f t="shared" si="24"/>
        <v>7.9333333333488554</v>
      </c>
      <c r="I78" s="24">
        <f t="shared" si="25"/>
        <v>23.583333333372138</v>
      </c>
      <c r="J78" s="24">
        <f t="shared" si="26"/>
        <v>15.566666666592937</v>
      </c>
      <c r="K78" s="24">
        <f t="shared" si="27"/>
        <v>6.1166666666977108</v>
      </c>
      <c r="L78" s="24">
        <f t="shared" si="28"/>
        <v>2.0833333334885538</v>
      </c>
      <c r="M78" t="str">
        <f t="shared" si="29"/>
        <v>OK</v>
      </c>
      <c r="N78" s="24">
        <f t="shared" si="30"/>
        <v>7.9333333333488554</v>
      </c>
      <c r="O78" s="24">
        <f t="shared" si="31"/>
        <v>23.583333333372138</v>
      </c>
      <c r="P78" s="24">
        <f t="shared" si="32"/>
        <v>15.566666666592937</v>
      </c>
      <c r="Q78" s="24">
        <f t="shared" si="33"/>
        <v>6.1166666666977108</v>
      </c>
      <c r="R78" s="24">
        <f t="shared" si="34"/>
        <v>2.0833333334885538</v>
      </c>
      <c r="S78" s="24">
        <f t="shared" si="35"/>
        <v>55.283333333500195</v>
      </c>
    </row>
    <row r="79" spans="1:19" x14ac:dyDescent="0.3">
      <c r="A79" t="s">
        <v>238</v>
      </c>
      <c r="B79" s="23">
        <v>46097.239583333343</v>
      </c>
      <c r="C79" s="23">
        <v>46097.45</v>
      </c>
      <c r="D79" s="23">
        <v>46098.063888888893</v>
      </c>
      <c r="E79" s="23">
        <v>46098.720138888893</v>
      </c>
      <c r="F79" s="23">
        <v>46098.995833333327</v>
      </c>
      <c r="G79" s="23">
        <v>46099.106944444437</v>
      </c>
      <c r="H79" s="24">
        <f t="shared" si="24"/>
        <v>5.0499999996973202</v>
      </c>
      <c r="I79" s="24">
        <f t="shared" si="25"/>
        <v>14.733333333511837</v>
      </c>
      <c r="J79" s="24">
        <f t="shared" si="26"/>
        <v>15.75</v>
      </c>
      <c r="K79" s="24">
        <f t="shared" si="27"/>
        <v>6.6166666664066724</v>
      </c>
      <c r="L79" s="24">
        <f t="shared" si="28"/>
        <v>2.6666666666278616</v>
      </c>
      <c r="M79" t="str">
        <f t="shared" si="29"/>
        <v>OK</v>
      </c>
      <c r="N79" s="24">
        <f t="shared" si="30"/>
        <v>5.0499999996973202</v>
      </c>
      <c r="O79" s="24">
        <f t="shared" si="31"/>
        <v>14.733333333511837</v>
      </c>
      <c r="P79" s="24">
        <f t="shared" si="32"/>
        <v>15.75</v>
      </c>
      <c r="Q79" s="24">
        <f t="shared" si="33"/>
        <v>6.6166666664066724</v>
      </c>
      <c r="R79" s="24">
        <f t="shared" si="34"/>
        <v>2.6666666666278616</v>
      </c>
      <c r="S79" s="24">
        <f t="shared" si="35"/>
        <v>44.816666666243691</v>
      </c>
    </row>
    <row r="80" spans="1:19" x14ac:dyDescent="0.3">
      <c r="A80" t="s">
        <v>239</v>
      </c>
      <c r="B80" s="23">
        <v>46097.447222222218</v>
      </c>
      <c r="C80" s="23">
        <v>46097.706250000003</v>
      </c>
      <c r="D80" s="23">
        <v>46098.506249999999</v>
      </c>
      <c r="E80" s="23">
        <v>46099.261805555558</v>
      </c>
      <c r="F80" s="23">
        <v>46099.672222222223</v>
      </c>
      <c r="G80" s="23">
        <v>46099.731944444437</v>
      </c>
      <c r="H80" s="24">
        <f t="shared" si="24"/>
        <v>6.2166666668490507</v>
      </c>
      <c r="I80" s="24">
        <f t="shared" si="25"/>
        <v>19.199999999895226</v>
      </c>
      <c r="J80" s="24">
        <f t="shared" si="26"/>
        <v>18.133333333418705</v>
      </c>
      <c r="K80" s="24">
        <f t="shared" si="27"/>
        <v>9.8499999999767169</v>
      </c>
      <c r="L80" s="24">
        <f t="shared" si="28"/>
        <v>1.4333333331160247</v>
      </c>
      <c r="M80" t="str">
        <f t="shared" si="29"/>
        <v>OK</v>
      </c>
      <c r="N80" s="24">
        <f t="shared" si="30"/>
        <v>6.2166666668490507</v>
      </c>
      <c r="O80" s="24">
        <f t="shared" si="31"/>
        <v>19.199999999895226</v>
      </c>
      <c r="P80" s="24">
        <f t="shared" si="32"/>
        <v>18.133333333418705</v>
      </c>
      <c r="Q80" s="24">
        <f t="shared" si="33"/>
        <v>9.8499999999767169</v>
      </c>
      <c r="R80" s="24">
        <f t="shared" si="34"/>
        <v>1.4333333331160247</v>
      </c>
      <c r="S80" s="24">
        <f t="shared" si="35"/>
        <v>54.833333333255723</v>
      </c>
    </row>
    <row r="81" spans="1:19" x14ac:dyDescent="0.3">
      <c r="A81" t="s">
        <v>240</v>
      </c>
      <c r="B81" s="23">
        <v>46097.62222222222</v>
      </c>
      <c r="C81" s="23">
        <v>46097.838194444441</v>
      </c>
      <c r="D81" s="23">
        <v>46098.262499999997</v>
      </c>
      <c r="E81" s="23">
        <v>46098.602083333331</v>
      </c>
      <c r="F81" s="23">
        <v>46098.913888888892</v>
      </c>
      <c r="G81" s="23">
        <v>46099.006249999999</v>
      </c>
      <c r="H81" s="24">
        <f t="shared" si="24"/>
        <v>5.1833333332906477</v>
      </c>
      <c r="I81" s="24">
        <f t="shared" si="25"/>
        <v>10.183333333348855</v>
      </c>
      <c r="J81" s="24">
        <f t="shared" si="26"/>
        <v>8.1500000000232831</v>
      </c>
      <c r="K81" s="24">
        <f t="shared" si="27"/>
        <v>7.4833333334536292</v>
      </c>
      <c r="L81" s="24">
        <f t="shared" si="28"/>
        <v>2.2166666665580124</v>
      </c>
      <c r="M81" t="str">
        <f t="shared" si="29"/>
        <v>OK</v>
      </c>
      <c r="N81" s="24">
        <f t="shared" si="30"/>
        <v>5.1833333332906477</v>
      </c>
      <c r="O81" s="24">
        <f t="shared" si="31"/>
        <v>10.183333333348855</v>
      </c>
      <c r="P81" s="24">
        <f t="shared" si="32"/>
        <v>8.1500000000232831</v>
      </c>
      <c r="Q81" s="24">
        <f t="shared" si="33"/>
        <v>7.4833333334536292</v>
      </c>
      <c r="R81" s="24">
        <f t="shared" si="34"/>
        <v>2.2166666665580124</v>
      </c>
      <c r="S81" s="24">
        <f t="shared" si="35"/>
        <v>33.216666666674428</v>
      </c>
    </row>
    <row r="82" spans="1:19" x14ac:dyDescent="0.3">
      <c r="A82" t="s">
        <v>241</v>
      </c>
      <c r="B82" s="23">
        <v>46097.69027777778</v>
      </c>
      <c r="C82" s="23">
        <v>46098.004861111112</v>
      </c>
      <c r="D82" s="23">
        <v>46098.537499999999</v>
      </c>
      <c r="E82" s="23">
        <v>46099.003472222219</v>
      </c>
      <c r="F82" s="23">
        <v>46099.277777777781</v>
      </c>
      <c r="G82" s="23">
        <v>46099.393750000003</v>
      </c>
      <c r="H82" s="24">
        <f t="shared" si="24"/>
        <v>7.5499999999883585</v>
      </c>
      <c r="I82" s="24">
        <f t="shared" si="25"/>
        <v>12.783333333267365</v>
      </c>
      <c r="J82" s="24">
        <f t="shared" si="26"/>
        <v>11.183333333290648</v>
      </c>
      <c r="K82" s="24">
        <f t="shared" si="27"/>
        <v>6.5833333334885538</v>
      </c>
      <c r="L82" s="24">
        <f t="shared" si="28"/>
        <v>2.7833333333255723</v>
      </c>
      <c r="M82" t="str">
        <f t="shared" si="29"/>
        <v>OK</v>
      </c>
      <c r="N82" s="24">
        <f t="shared" si="30"/>
        <v>7.5499999999883585</v>
      </c>
      <c r="O82" s="24">
        <f t="shared" si="31"/>
        <v>12.783333333267365</v>
      </c>
      <c r="P82" s="24">
        <f t="shared" si="32"/>
        <v>11.183333333290648</v>
      </c>
      <c r="Q82" s="24">
        <f t="shared" si="33"/>
        <v>6.5833333334885538</v>
      </c>
      <c r="R82" s="24">
        <f t="shared" si="34"/>
        <v>2.7833333333255723</v>
      </c>
      <c r="S82" s="24">
        <f t="shared" si="35"/>
        <v>40.883333333360497</v>
      </c>
    </row>
    <row r="83" spans="1:19" x14ac:dyDescent="0.3">
      <c r="A83" t="s">
        <v>242</v>
      </c>
      <c r="B83" s="23">
        <v>46098.174305555563</v>
      </c>
      <c r="C83" s="23">
        <v>46098.37222222222</v>
      </c>
      <c r="D83" s="23">
        <v>46099.041666666657</v>
      </c>
      <c r="E83" s="23">
        <v>46099.995138888888</v>
      </c>
      <c r="F83" s="23">
        <v>46100.378472222219</v>
      </c>
      <c r="G83" s="23">
        <v>46100.526388888888</v>
      </c>
      <c r="H83" s="24">
        <f t="shared" si="24"/>
        <v>4.7499999997671694</v>
      </c>
      <c r="I83" s="24">
        <f t="shared" si="25"/>
        <v>16.066666666476522</v>
      </c>
      <c r="J83" s="24">
        <f t="shared" si="26"/>
        <v>22.88333333353512</v>
      </c>
      <c r="K83" s="24">
        <f t="shared" si="27"/>
        <v>9.1999999999534339</v>
      </c>
      <c r="L83" s="24">
        <f t="shared" si="28"/>
        <v>3.5500000000465661</v>
      </c>
      <c r="M83" t="str">
        <f t="shared" si="29"/>
        <v>OK</v>
      </c>
      <c r="N83" s="24">
        <f t="shared" si="30"/>
        <v>4.7499999997671694</v>
      </c>
      <c r="O83" s="24">
        <f t="shared" si="31"/>
        <v>16.066666666476522</v>
      </c>
      <c r="P83" s="24">
        <f t="shared" si="32"/>
        <v>22.88333333353512</v>
      </c>
      <c r="Q83" s="24">
        <f t="shared" si="33"/>
        <v>9.1999999999534339</v>
      </c>
      <c r="R83" s="24">
        <f t="shared" si="34"/>
        <v>3.5500000000465661</v>
      </c>
      <c r="S83" s="24">
        <f t="shared" si="35"/>
        <v>56.449999999778811</v>
      </c>
    </row>
    <row r="84" spans="1:19" x14ac:dyDescent="0.3">
      <c r="A84" t="s">
        <v>243</v>
      </c>
      <c r="B84" s="23">
        <v>46098.357638888891</v>
      </c>
      <c r="C84" s="23">
        <v>46098.632638888892</v>
      </c>
      <c r="D84" s="23">
        <v>46099.762499999997</v>
      </c>
      <c r="E84" s="23">
        <v>46101.53402777778</v>
      </c>
      <c r="F84" s="23">
        <v>46101.925694444442</v>
      </c>
      <c r="G84" s="23">
        <v>46102.070138888892</v>
      </c>
      <c r="H84" s="24">
        <f t="shared" si="24"/>
        <v>6.6000000000349246</v>
      </c>
      <c r="I84" s="24">
        <f t="shared" si="25"/>
        <v>27.116666666523088</v>
      </c>
      <c r="J84" s="24">
        <f t="shared" si="26"/>
        <v>42.516666666779201</v>
      </c>
      <c r="K84" s="24">
        <f t="shared" si="27"/>
        <v>9.3999999999068677</v>
      </c>
      <c r="L84" s="24">
        <f t="shared" si="28"/>
        <v>3.466666666790843</v>
      </c>
      <c r="M84" t="str">
        <f t="shared" si="29"/>
        <v>OK</v>
      </c>
      <c r="N84" s="24">
        <f t="shared" si="30"/>
        <v>6.6000000000349246</v>
      </c>
      <c r="O84" s="24">
        <f t="shared" si="31"/>
        <v>27.116666666523088</v>
      </c>
      <c r="P84" s="24">
        <f t="shared" si="32"/>
        <v>42.516666666779201</v>
      </c>
      <c r="Q84" s="24">
        <f t="shared" si="33"/>
        <v>9.3999999999068677</v>
      </c>
      <c r="R84" s="24">
        <f t="shared" si="34"/>
        <v>3.466666666790843</v>
      </c>
      <c r="S84" s="24">
        <f t="shared" si="35"/>
        <v>89.100000000034925</v>
      </c>
    </row>
    <row r="85" spans="1:19" x14ac:dyDescent="0.3">
      <c r="A85" t="s">
        <v>244</v>
      </c>
      <c r="B85" s="23">
        <v>46098.51666666667</v>
      </c>
      <c r="C85" s="23">
        <v>46098.781944444447</v>
      </c>
      <c r="D85" s="23">
        <v>46099.920138888891</v>
      </c>
      <c r="E85" s="23">
        <v>46100.470138888893</v>
      </c>
      <c r="F85" s="23">
        <v>46100.901388888888</v>
      </c>
      <c r="G85" s="23">
        <v>46100.993055555547</v>
      </c>
      <c r="H85" s="24">
        <f t="shared" si="24"/>
        <v>6.3666666666395031</v>
      </c>
      <c r="I85" s="24">
        <f t="shared" si="25"/>
        <v>27.316666666651145</v>
      </c>
      <c r="J85" s="24">
        <f t="shared" si="26"/>
        <v>13.200000000069849</v>
      </c>
      <c r="K85" s="24">
        <f t="shared" si="27"/>
        <v>10.349999999860302</v>
      </c>
      <c r="L85" s="24">
        <f t="shared" si="28"/>
        <v>2.1999999998370185</v>
      </c>
      <c r="M85" t="str">
        <f t="shared" si="29"/>
        <v>OK</v>
      </c>
      <c r="N85" s="24">
        <f t="shared" si="30"/>
        <v>6.3666666666395031</v>
      </c>
      <c r="O85" s="24">
        <f t="shared" si="31"/>
        <v>27.316666666651145</v>
      </c>
      <c r="P85" s="24">
        <f t="shared" si="32"/>
        <v>13.200000000069849</v>
      </c>
      <c r="Q85" s="24">
        <f t="shared" si="33"/>
        <v>10.349999999860302</v>
      </c>
      <c r="R85" s="24">
        <f t="shared" si="34"/>
        <v>2.1999999998370185</v>
      </c>
      <c r="S85" s="24">
        <f t="shared" si="35"/>
        <v>59.433333333057817</v>
      </c>
    </row>
    <row r="86" spans="1:19" x14ac:dyDescent="0.3">
      <c r="A86" t="s">
        <v>245</v>
      </c>
      <c r="B86" s="23">
        <v>46098.875</v>
      </c>
      <c r="C86" s="23">
        <v>46099.100694444453</v>
      </c>
      <c r="D86" s="23">
        <v>46099.690972222219</v>
      </c>
      <c r="E86" s="23">
        <v>46100.265277777777</v>
      </c>
      <c r="F86" s="23">
        <v>46100.447916666657</v>
      </c>
      <c r="G86" s="23">
        <v>46100.538194444453</v>
      </c>
      <c r="H86" s="24">
        <f t="shared" si="24"/>
        <v>5.4166666668606922</v>
      </c>
      <c r="I86" s="24">
        <f t="shared" si="25"/>
        <v>14.166666666395031</v>
      </c>
      <c r="J86" s="24">
        <f t="shared" si="26"/>
        <v>13.78333333338378</v>
      </c>
      <c r="K86" s="24">
        <f t="shared" si="27"/>
        <v>4.3833333331276663</v>
      </c>
      <c r="L86" s="24">
        <f t="shared" si="28"/>
        <v>2.1666666670935228</v>
      </c>
      <c r="M86" t="str">
        <f t="shared" si="29"/>
        <v>OK</v>
      </c>
      <c r="N86" s="24">
        <f t="shared" si="30"/>
        <v>5.4166666668606922</v>
      </c>
      <c r="O86" s="24">
        <f t="shared" si="31"/>
        <v>14.166666666395031</v>
      </c>
      <c r="P86" s="24">
        <f t="shared" si="32"/>
        <v>13.78333333338378</v>
      </c>
      <c r="Q86" s="24">
        <f t="shared" si="33"/>
        <v>4.3833333331276663</v>
      </c>
      <c r="R86" s="24">
        <f t="shared" si="34"/>
        <v>2.1666666670935228</v>
      </c>
      <c r="S86" s="24">
        <f t="shared" si="35"/>
        <v>39.916666666860692</v>
      </c>
    </row>
    <row r="87" spans="1:19" x14ac:dyDescent="0.3">
      <c r="A87" t="s">
        <v>246</v>
      </c>
      <c r="B87" s="23">
        <v>46099.092361111107</v>
      </c>
      <c r="C87" s="23">
        <v>46099.38958333333</v>
      </c>
      <c r="D87" s="23">
        <v>46099.982638888891</v>
      </c>
      <c r="E87" s="23">
        <v>46100.220138888893</v>
      </c>
      <c r="F87" s="23">
        <v>46100.558333333327</v>
      </c>
      <c r="G87" s="23">
        <v>46100.679166666669</v>
      </c>
      <c r="H87" s="24">
        <f t="shared" si="24"/>
        <v>7.1333333333604969</v>
      </c>
      <c r="I87" s="24">
        <f t="shared" si="25"/>
        <v>14.233333333453629</v>
      </c>
      <c r="J87" s="24">
        <f t="shared" si="26"/>
        <v>5.7000000000698492</v>
      </c>
      <c r="K87" s="24">
        <f t="shared" si="27"/>
        <v>8.1166666664066724</v>
      </c>
      <c r="L87" s="24">
        <f t="shared" si="28"/>
        <v>2.900000000197906</v>
      </c>
      <c r="M87" t="str">
        <f t="shared" si="29"/>
        <v>OK</v>
      </c>
      <c r="N87" s="24">
        <f t="shared" si="30"/>
        <v>7.1333333333604969</v>
      </c>
      <c r="O87" s="24">
        <f t="shared" si="31"/>
        <v>14.233333333453629</v>
      </c>
      <c r="P87" s="24">
        <f t="shared" si="32"/>
        <v>5.7000000000698492</v>
      </c>
      <c r="Q87" s="24">
        <f t="shared" si="33"/>
        <v>8.1166666664066724</v>
      </c>
      <c r="R87" s="24">
        <f t="shared" si="34"/>
        <v>2.900000000197906</v>
      </c>
      <c r="S87" s="24">
        <f t="shared" si="35"/>
        <v>38.083333333488554</v>
      </c>
    </row>
    <row r="88" spans="1:19" x14ac:dyDescent="0.3">
      <c r="A88" t="s">
        <v>247</v>
      </c>
      <c r="B88" s="23">
        <v>46099.415277777778</v>
      </c>
      <c r="C88" s="23">
        <v>46099.576388888891</v>
      </c>
      <c r="D88" s="23">
        <v>46100.212500000001</v>
      </c>
      <c r="E88" s="23">
        <v>46100.998611111107</v>
      </c>
      <c r="F88" s="23">
        <v>46101.431250000001</v>
      </c>
      <c r="G88" s="23">
        <v>46101.525694444441</v>
      </c>
      <c r="H88" s="24">
        <f t="shared" si="24"/>
        <v>3.8666666666977108</v>
      </c>
      <c r="I88" s="24">
        <f t="shared" si="25"/>
        <v>15.266666666662786</v>
      </c>
      <c r="J88" s="24">
        <f t="shared" si="26"/>
        <v>18.866666666523088</v>
      </c>
      <c r="K88" s="24">
        <f t="shared" si="27"/>
        <v>10.383333333476912</v>
      </c>
      <c r="L88" s="24">
        <f t="shared" si="28"/>
        <v>2.2666666665463708</v>
      </c>
      <c r="M88" t="str">
        <f t="shared" si="29"/>
        <v>OK</v>
      </c>
      <c r="N88" s="24">
        <f t="shared" si="30"/>
        <v>3.8666666666977108</v>
      </c>
      <c r="O88" s="24">
        <f t="shared" si="31"/>
        <v>15.266666666662786</v>
      </c>
      <c r="P88" s="24">
        <f t="shared" si="32"/>
        <v>18.866666666523088</v>
      </c>
      <c r="Q88" s="24">
        <f t="shared" si="33"/>
        <v>10.383333333476912</v>
      </c>
      <c r="R88" s="24">
        <f t="shared" si="34"/>
        <v>2.2666666665463708</v>
      </c>
      <c r="S88" s="24">
        <f t="shared" si="35"/>
        <v>50.649999999906868</v>
      </c>
    </row>
    <row r="89" spans="1:19" x14ac:dyDescent="0.3">
      <c r="A89" t="s">
        <v>248</v>
      </c>
      <c r="B89" s="23">
        <v>46099.692361111112</v>
      </c>
      <c r="C89" s="23">
        <v>46099.875</v>
      </c>
      <c r="D89" s="23">
        <v>46100.534722222219</v>
      </c>
      <c r="E89" s="23">
        <v>46101.538888888892</v>
      </c>
      <c r="F89" s="23">
        <v>46101.879861111112</v>
      </c>
      <c r="G89" s="23">
        <v>46102.095833333333</v>
      </c>
      <c r="H89" s="24">
        <f t="shared" si="24"/>
        <v>4.3833333333022892</v>
      </c>
      <c r="I89" s="24">
        <f t="shared" si="25"/>
        <v>15.833333333255723</v>
      </c>
      <c r="J89" s="24">
        <f t="shared" si="26"/>
        <v>24.10000000015134</v>
      </c>
      <c r="K89" s="24">
        <f t="shared" si="27"/>
        <v>8.1833333332906477</v>
      </c>
      <c r="L89" s="24">
        <f t="shared" si="28"/>
        <v>5.1833333332906477</v>
      </c>
      <c r="M89" t="str">
        <f t="shared" si="29"/>
        <v>OK</v>
      </c>
      <c r="N89" s="24">
        <f t="shared" si="30"/>
        <v>4.3833333333022892</v>
      </c>
      <c r="O89" s="24">
        <f t="shared" si="31"/>
        <v>15.833333333255723</v>
      </c>
      <c r="P89" s="24">
        <f t="shared" si="32"/>
        <v>24.10000000015134</v>
      </c>
      <c r="Q89" s="24">
        <f t="shared" si="33"/>
        <v>8.1833333332906477</v>
      </c>
      <c r="R89" s="24">
        <f t="shared" si="34"/>
        <v>5.1833333332906477</v>
      </c>
      <c r="S89" s="24">
        <f t="shared" si="35"/>
        <v>57.683333333290648</v>
      </c>
    </row>
    <row r="90" spans="1:19" x14ac:dyDescent="0.3">
      <c r="A90" t="s">
        <v>249</v>
      </c>
      <c r="B90" s="23">
        <v>46099.9</v>
      </c>
      <c r="C90" s="23">
        <v>46100.052083333343</v>
      </c>
      <c r="D90" s="23">
        <v>46100.952777777777</v>
      </c>
      <c r="E90" s="23">
        <v>46101.401388888888</v>
      </c>
      <c r="F90" s="23">
        <v>46102.296527777777</v>
      </c>
      <c r="G90" s="23">
        <v>46102.36041666667</v>
      </c>
      <c r="H90" s="24">
        <f t="shared" si="24"/>
        <v>3.650000000197906</v>
      </c>
      <c r="I90" s="24">
        <f t="shared" si="25"/>
        <v>21.616666666406672</v>
      </c>
      <c r="J90" s="24">
        <f t="shared" si="26"/>
        <v>10.766666666662786</v>
      </c>
      <c r="K90" s="24">
        <f t="shared" si="27"/>
        <v>21.483333333337214</v>
      </c>
      <c r="L90" s="24">
        <f t="shared" si="28"/>
        <v>1.5333333334419876</v>
      </c>
      <c r="M90" t="str">
        <f t="shared" si="29"/>
        <v>OK</v>
      </c>
      <c r="N90" s="24">
        <f t="shared" si="30"/>
        <v>3.650000000197906</v>
      </c>
      <c r="O90" s="24">
        <f t="shared" si="31"/>
        <v>21.616666666406672</v>
      </c>
      <c r="P90" s="24">
        <f t="shared" si="32"/>
        <v>10.766666666662786</v>
      </c>
      <c r="Q90" s="24">
        <f t="shared" si="33"/>
        <v>21.483333333337214</v>
      </c>
      <c r="R90" s="24">
        <f t="shared" si="34"/>
        <v>1.5333333334419876</v>
      </c>
      <c r="S90" s="24">
        <f t="shared" si="35"/>
        <v>59.050000000046566</v>
      </c>
    </row>
    <row r="91" spans="1:19" x14ac:dyDescent="0.3">
      <c r="A91" t="s">
        <v>250</v>
      </c>
      <c r="B91" s="23">
        <v>46100.370138888888</v>
      </c>
      <c r="C91" s="23">
        <v>46100.52847222222</v>
      </c>
      <c r="D91" s="23">
        <v>46101.215277777781</v>
      </c>
      <c r="E91" s="23">
        <v>46101.881249999999</v>
      </c>
      <c r="F91" s="23">
        <v>46102.018055555563</v>
      </c>
      <c r="G91" s="23">
        <v>46102.145833333343</v>
      </c>
      <c r="H91" s="24">
        <f t="shared" si="24"/>
        <v>3.7999999999883585</v>
      </c>
      <c r="I91" s="24">
        <f t="shared" si="25"/>
        <v>16.483333333453629</v>
      </c>
      <c r="J91" s="24">
        <f t="shared" si="26"/>
        <v>15.983333333220799</v>
      </c>
      <c r="K91" s="24">
        <f t="shared" si="27"/>
        <v>3.283333333558403</v>
      </c>
      <c r="L91" s="24">
        <f t="shared" si="28"/>
        <v>3.0666666667093523</v>
      </c>
      <c r="M91" t="str">
        <f t="shared" si="29"/>
        <v>OK</v>
      </c>
      <c r="N91" s="24">
        <f t="shared" si="30"/>
        <v>3.7999999999883585</v>
      </c>
      <c r="O91" s="24">
        <f t="shared" si="31"/>
        <v>16.483333333453629</v>
      </c>
      <c r="P91" s="24">
        <f t="shared" si="32"/>
        <v>15.983333333220799</v>
      </c>
      <c r="Q91" s="24">
        <f t="shared" si="33"/>
        <v>3.283333333558403</v>
      </c>
      <c r="R91" s="24">
        <f t="shared" si="34"/>
        <v>3.0666666667093523</v>
      </c>
      <c r="S91" s="24">
        <f t="shared" si="35"/>
        <v>42.616666666930541</v>
      </c>
    </row>
    <row r="92" spans="1:19" x14ac:dyDescent="0.3">
      <c r="A92" t="s">
        <v>251</v>
      </c>
      <c r="B92" s="23">
        <v>46100.47152777778</v>
      </c>
      <c r="C92" s="23">
        <v>46100.74722222222</v>
      </c>
      <c r="D92" s="23">
        <v>46101.624305555553</v>
      </c>
      <c r="E92" s="23">
        <v>46102.333333333343</v>
      </c>
      <c r="F92" s="23">
        <v>46102.984027777777</v>
      </c>
      <c r="G92" s="23">
        <v>46103.06527777778</v>
      </c>
      <c r="H92" s="24">
        <f t="shared" si="24"/>
        <v>6.6166666665812954</v>
      </c>
      <c r="I92" s="24">
        <f t="shared" si="25"/>
        <v>21.049999999988358</v>
      </c>
      <c r="J92" s="24">
        <f t="shared" si="26"/>
        <v>17.016666666953824</v>
      </c>
      <c r="K92" s="24">
        <f t="shared" si="27"/>
        <v>15.616666666406672</v>
      </c>
      <c r="L92" s="24">
        <f t="shared" si="28"/>
        <v>1.9500000000698492</v>
      </c>
      <c r="M92" t="str">
        <f t="shared" si="29"/>
        <v>OK</v>
      </c>
      <c r="N92" s="24">
        <f t="shared" si="30"/>
        <v>6.6166666665812954</v>
      </c>
      <c r="O92" s="24">
        <f t="shared" si="31"/>
        <v>21.049999999988358</v>
      </c>
      <c r="P92" s="24">
        <f t="shared" si="32"/>
        <v>17.016666666953824</v>
      </c>
      <c r="Q92" s="24">
        <f t="shared" si="33"/>
        <v>15.616666666406672</v>
      </c>
      <c r="R92" s="24">
        <f t="shared" si="34"/>
        <v>1.9500000000698492</v>
      </c>
      <c r="S92" s="24">
        <f t="shared" si="35"/>
        <v>62.25</v>
      </c>
    </row>
    <row r="93" spans="1:19" x14ac:dyDescent="0.3">
      <c r="A93" t="s">
        <v>252</v>
      </c>
      <c r="B93" s="23">
        <v>46100.569444444453</v>
      </c>
      <c r="C93" s="23">
        <v>46100.815972222219</v>
      </c>
      <c r="D93" s="23">
        <v>46101.727777777778</v>
      </c>
      <c r="E93" s="23">
        <v>46102.251388888893</v>
      </c>
      <c r="F93" s="23">
        <v>46102.432638888888</v>
      </c>
      <c r="G93" s="23">
        <v>46102.598611111112</v>
      </c>
      <c r="H93" s="24">
        <f t="shared" si="24"/>
        <v>5.9166666663950309</v>
      </c>
      <c r="I93" s="24">
        <f t="shared" si="25"/>
        <v>21.883333333418705</v>
      </c>
      <c r="J93" s="24">
        <f t="shared" si="26"/>
        <v>12.56666666676756</v>
      </c>
      <c r="K93" s="24">
        <f t="shared" si="27"/>
        <v>4.3499999998603016</v>
      </c>
      <c r="L93" s="24">
        <f t="shared" si="28"/>
        <v>3.9833333333954215</v>
      </c>
      <c r="M93" t="str">
        <f t="shared" si="29"/>
        <v>OK</v>
      </c>
      <c r="N93" s="24">
        <f t="shared" si="30"/>
        <v>5.9166666663950309</v>
      </c>
      <c r="O93" s="24">
        <f t="shared" si="31"/>
        <v>21.883333333418705</v>
      </c>
      <c r="P93" s="24">
        <f t="shared" si="32"/>
        <v>12.56666666676756</v>
      </c>
      <c r="Q93" s="24">
        <f t="shared" si="33"/>
        <v>4.3499999998603016</v>
      </c>
      <c r="R93" s="24">
        <f t="shared" si="34"/>
        <v>3.9833333333954215</v>
      </c>
      <c r="S93" s="24">
        <f t="shared" si="35"/>
        <v>48.699999999837019</v>
      </c>
    </row>
    <row r="94" spans="1:19" x14ac:dyDescent="0.3">
      <c r="A94" t="s">
        <v>253</v>
      </c>
      <c r="B94" s="23">
        <v>46100.670138888891</v>
      </c>
      <c r="C94" s="23">
        <v>46100.904166666667</v>
      </c>
      <c r="D94" s="23">
        <v>46101.652083333327</v>
      </c>
      <c r="E94" s="23">
        <v>46101.927777777782</v>
      </c>
      <c r="F94" s="23">
        <v>46102.113194444442</v>
      </c>
      <c r="G94" s="23">
        <v>46102.262499999997</v>
      </c>
      <c r="H94" s="24">
        <f t="shared" si="24"/>
        <v>5.6166666666395031</v>
      </c>
      <c r="I94" s="24">
        <f t="shared" si="25"/>
        <v>17.949999999837019</v>
      </c>
      <c r="J94" s="24">
        <f t="shared" si="26"/>
        <v>6.6166666669305414</v>
      </c>
      <c r="K94" s="24">
        <f t="shared" si="27"/>
        <v>4.4499999998370185</v>
      </c>
      <c r="L94" s="24">
        <f t="shared" si="28"/>
        <v>3.5833333333139308</v>
      </c>
      <c r="M94" t="str">
        <f t="shared" si="29"/>
        <v>OK</v>
      </c>
      <c r="N94" s="24">
        <f t="shared" si="30"/>
        <v>5.6166666666395031</v>
      </c>
      <c r="O94" s="24">
        <f t="shared" si="31"/>
        <v>17.949999999837019</v>
      </c>
      <c r="P94" s="24">
        <f t="shared" si="32"/>
        <v>6.6166666669305414</v>
      </c>
      <c r="Q94" s="24">
        <f t="shared" si="33"/>
        <v>4.4499999998370185</v>
      </c>
      <c r="R94" s="24">
        <f t="shared" si="34"/>
        <v>3.5833333333139308</v>
      </c>
      <c r="S94" s="24">
        <f t="shared" si="35"/>
        <v>38.216666666558012</v>
      </c>
    </row>
    <row r="95" spans="1:19" x14ac:dyDescent="0.3">
      <c r="A95" t="s">
        <v>254</v>
      </c>
      <c r="B95" s="23">
        <v>46101.455555555563</v>
      </c>
      <c r="C95" s="23">
        <v>46101.810416666667</v>
      </c>
      <c r="D95" s="23">
        <v>46102.654166666667</v>
      </c>
      <c r="E95" s="23">
        <v>46103.921527777777</v>
      </c>
      <c r="F95" s="23">
        <v>46104.056944444441</v>
      </c>
      <c r="G95" s="23">
        <v>46104.261805555558</v>
      </c>
      <c r="H95" s="24">
        <f t="shared" si="24"/>
        <v>8.5166666664881632</v>
      </c>
      <c r="I95" s="24">
        <f t="shared" si="25"/>
        <v>20.25</v>
      </c>
      <c r="J95" s="24">
        <f t="shared" si="26"/>
        <v>30.416666666627862</v>
      </c>
      <c r="K95" s="24">
        <f t="shared" si="27"/>
        <v>3.2499999999417923</v>
      </c>
      <c r="L95" s="24">
        <f t="shared" si="28"/>
        <v>4.9166666668024845</v>
      </c>
      <c r="M95" t="str">
        <f t="shared" si="29"/>
        <v>OK</v>
      </c>
      <c r="N95" s="24">
        <f t="shared" si="30"/>
        <v>8.5166666664881632</v>
      </c>
      <c r="O95" s="24">
        <f t="shared" si="31"/>
        <v>20.25</v>
      </c>
      <c r="P95" s="24">
        <f t="shared" si="32"/>
        <v>30.416666666627862</v>
      </c>
      <c r="Q95" s="24">
        <f t="shared" si="33"/>
        <v>3.2499999999417923</v>
      </c>
      <c r="R95" s="24">
        <f t="shared" si="34"/>
        <v>4.9166666668024845</v>
      </c>
      <c r="S95" s="24">
        <f t="shared" si="35"/>
        <v>67.349999999860302</v>
      </c>
    </row>
    <row r="96" spans="1:19" x14ac:dyDescent="0.3">
      <c r="A96" t="s">
        <v>255</v>
      </c>
      <c r="B96" s="23">
        <v>46101.508333333331</v>
      </c>
      <c r="C96" s="23">
        <v>46101.620138888888</v>
      </c>
      <c r="D96" s="23">
        <v>46102.480555555558</v>
      </c>
      <c r="E96" s="23">
        <v>46103.532638888893</v>
      </c>
      <c r="F96" s="23">
        <v>46103.716666666667</v>
      </c>
      <c r="G96" s="23">
        <v>46103.80972222222</v>
      </c>
      <c r="H96" s="24">
        <f t="shared" si="24"/>
        <v>2.6833333333488554</v>
      </c>
      <c r="I96" s="24">
        <f t="shared" si="25"/>
        <v>20.650000000081491</v>
      </c>
      <c r="J96" s="24">
        <f t="shared" si="26"/>
        <v>25.250000000058208</v>
      </c>
      <c r="K96" s="24">
        <f t="shared" si="27"/>
        <v>4.4166666665696539</v>
      </c>
      <c r="L96" s="24">
        <f t="shared" si="28"/>
        <v>2.2333333332790062</v>
      </c>
      <c r="M96" t="str">
        <f t="shared" si="29"/>
        <v>OK</v>
      </c>
      <c r="N96" s="24">
        <f t="shared" si="30"/>
        <v>2.6833333333488554</v>
      </c>
      <c r="O96" s="24">
        <f t="shared" si="31"/>
        <v>20.650000000081491</v>
      </c>
      <c r="P96" s="24">
        <f t="shared" si="32"/>
        <v>25.250000000058208</v>
      </c>
      <c r="Q96" s="24">
        <f t="shared" si="33"/>
        <v>4.4166666665696539</v>
      </c>
      <c r="R96" s="24">
        <f t="shared" si="34"/>
        <v>2.2333333332790062</v>
      </c>
      <c r="S96" s="24">
        <f t="shared" si="35"/>
        <v>55.233333333337214</v>
      </c>
    </row>
    <row r="97" spans="1:19" x14ac:dyDescent="0.3">
      <c r="A97" t="s">
        <v>256</v>
      </c>
      <c r="B97" s="23">
        <v>46101.643055555563</v>
      </c>
      <c r="C97" s="23">
        <v>46101.729166666657</v>
      </c>
      <c r="D97" s="23">
        <v>46102.453472222223</v>
      </c>
      <c r="E97" s="23">
        <v>46102.999305555553</v>
      </c>
      <c r="F97" s="23">
        <v>46103.17083333333</v>
      </c>
      <c r="G97" s="23">
        <v>46103.292361111111</v>
      </c>
      <c r="H97" s="24">
        <f t="shared" si="24"/>
        <v>2.066666666243691</v>
      </c>
      <c r="I97" s="24">
        <f t="shared" si="25"/>
        <v>17.383333333593328</v>
      </c>
      <c r="J97" s="24">
        <f t="shared" si="26"/>
        <v>13.099999999918509</v>
      </c>
      <c r="K97" s="24">
        <f t="shared" si="27"/>
        <v>4.1166666666395031</v>
      </c>
      <c r="L97" s="24">
        <f t="shared" si="28"/>
        <v>2.9166666667442769</v>
      </c>
      <c r="M97" t="str">
        <f t="shared" si="29"/>
        <v>OK</v>
      </c>
      <c r="N97" s="24">
        <f t="shared" si="30"/>
        <v>2.066666666243691</v>
      </c>
      <c r="O97" s="24">
        <f t="shared" si="31"/>
        <v>17.383333333593328</v>
      </c>
      <c r="P97" s="24">
        <f t="shared" si="32"/>
        <v>13.099999999918509</v>
      </c>
      <c r="Q97" s="24">
        <f t="shared" si="33"/>
        <v>4.1166666666395031</v>
      </c>
      <c r="R97" s="24">
        <f t="shared" si="34"/>
        <v>2.9166666667442769</v>
      </c>
      <c r="S97" s="24">
        <f t="shared" si="35"/>
        <v>39.583333333139308</v>
      </c>
    </row>
    <row r="98" spans="1:19" x14ac:dyDescent="0.3">
      <c r="A98" t="s">
        <v>257</v>
      </c>
      <c r="B98" s="23">
        <v>46102.175000000003</v>
      </c>
      <c r="C98" s="23">
        <v>46102.345833333333</v>
      </c>
      <c r="D98" s="23">
        <v>46103.198611111111</v>
      </c>
      <c r="E98" s="23">
        <v>46104.629861111112</v>
      </c>
      <c r="F98" s="23">
        <v>46105.694444444453</v>
      </c>
      <c r="G98" s="23">
        <v>46105.790277777778</v>
      </c>
      <c r="H98" s="24">
        <f t="shared" si="24"/>
        <v>4.0999999999185093</v>
      </c>
      <c r="I98" s="24">
        <f t="shared" si="25"/>
        <v>20.466666666674428</v>
      </c>
      <c r="J98" s="24">
        <f t="shared" si="26"/>
        <v>34.350000000034925</v>
      </c>
      <c r="K98" s="24">
        <f t="shared" si="27"/>
        <v>25.550000000162981</v>
      </c>
      <c r="L98" s="24">
        <f t="shared" si="28"/>
        <v>2.2999999998137355</v>
      </c>
      <c r="M98" t="str">
        <f t="shared" si="29"/>
        <v>OK</v>
      </c>
      <c r="N98" s="24">
        <f t="shared" si="30"/>
        <v>4.0999999999185093</v>
      </c>
      <c r="O98" s="24">
        <f t="shared" si="31"/>
        <v>20.466666666674428</v>
      </c>
      <c r="P98" s="24">
        <f t="shared" si="32"/>
        <v>34.350000000034925</v>
      </c>
      <c r="Q98" s="24">
        <f t="shared" si="33"/>
        <v>25.550000000162981</v>
      </c>
      <c r="R98" s="24">
        <f t="shared" si="34"/>
        <v>2.2999999998137355</v>
      </c>
      <c r="S98" s="24">
        <f t="shared" si="35"/>
        <v>86.766666666604578</v>
      </c>
    </row>
    <row r="99" spans="1:19" x14ac:dyDescent="0.3">
      <c r="A99" t="s">
        <v>258</v>
      </c>
      <c r="B99" s="23">
        <v>46102.642361111109</v>
      </c>
      <c r="C99" s="23">
        <v>46102.803472222222</v>
      </c>
      <c r="D99" s="23">
        <v>46103.839583333327</v>
      </c>
      <c r="E99" s="23">
        <v>46104.563194444447</v>
      </c>
      <c r="F99" s="23">
        <v>46104.97152777778</v>
      </c>
      <c r="G99" s="23">
        <v>46105.197222222218</v>
      </c>
      <c r="H99" s="24">
        <f t="shared" si="24"/>
        <v>3.8666666666977108</v>
      </c>
      <c r="I99" s="24">
        <f t="shared" si="25"/>
        <v>24.866666666523088</v>
      </c>
      <c r="J99" s="24">
        <f t="shared" si="26"/>
        <v>17.366666666872334</v>
      </c>
      <c r="K99" s="24">
        <f t="shared" si="27"/>
        <v>9.7999999999883585</v>
      </c>
      <c r="L99" s="24">
        <f t="shared" si="28"/>
        <v>5.4166666665114462</v>
      </c>
      <c r="M99" t="str">
        <f t="shared" si="29"/>
        <v>OK</v>
      </c>
      <c r="N99" s="24">
        <f t="shared" si="30"/>
        <v>3.8666666666977108</v>
      </c>
      <c r="O99" s="24">
        <f t="shared" si="31"/>
        <v>24.866666666523088</v>
      </c>
      <c r="P99" s="24">
        <f t="shared" si="32"/>
        <v>17.366666666872334</v>
      </c>
      <c r="Q99" s="24">
        <f t="shared" si="33"/>
        <v>9.7999999999883585</v>
      </c>
      <c r="R99" s="24">
        <f t="shared" si="34"/>
        <v>5.4166666665114462</v>
      </c>
      <c r="S99" s="24">
        <f t="shared" si="35"/>
        <v>61.316666666592937</v>
      </c>
    </row>
    <row r="100" spans="1:19" x14ac:dyDescent="0.3">
      <c r="A100" t="s">
        <v>259</v>
      </c>
      <c r="B100" s="23">
        <v>46103.185416666667</v>
      </c>
      <c r="C100" s="23">
        <v>46103.647916666669</v>
      </c>
      <c r="D100" s="23">
        <v>46105.082638888889</v>
      </c>
      <c r="E100" s="23">
        <v>46105.356249999997</v>
      </c>
      <c r="F100" s="23">
        <v>46105.595138888893</v>
      </c>
      <c r="G100" s="23">
        <v>46105.793055555558</v>
      </c>
      <c r="H100" s="24">
        <f t="shared" si="24"/>
        <v>11.100000000034925</v>
      </c>
      <c r="I100" s="24">
        <f t="shared" si="25"/>
        <v>34.433333333290648</v>
      </c>
      <c r="J100" s="24">
        <f t="shared" si="26"/>
        <v>6.566666666592937</v>
      </c>
      <c r="K100" s="24">
        <f t="shared" si="27"/>
        <v>5.7333333335118368</v>
      </c>
      <c r="L100" s="24">
        <f t="shared" si="28"/>
        <v>4.7499999999417923</v>
      </c>
      <c r="M100" t="str">
        <f t="shared" si="29"/>
        <v>OK</v>
      </c>
      <c r="N100" s="24">
        <f t="shared" si="30"/>
        <v>11.100000000034925</v>
      </c>
      <c r="O100" s="24">
        <f t="shared" si="31"/>
        <v>34.433333333290648</v>
      </c>
      <c r="P100" s="24">
        <f t="shared" si="32"/>
        <v>6.566666666592937</v>
      </c>
      <c r="Q100" s="24">
        <f t="shared" si="33"/>
        <v>5.7333333335118368</v>
      </c>
      <c r="R100" s="24">
        <f t="shared" si="34"/>
        <v>4.7499999999417923</v>
      </c>
      <c r="S100" s="24">
        <f t="shared" si="35"/>
        <v>62.583333333372138</v>
      </c>
    </row>
    <row r="101" spans="1:19" x14ac:dyDescent="0.3">
      <c r="A101" t="s">
        <v>260</v>
      </c>
      <c r="B101" s="23">
        <v>46103.249305555553</v>
      </c>
      <c r="C101" s="23">
        <v>46103.453472222223</v>
      </c>
      <c r="D101" s="23">
        <v>46103.977083333331</v>
      </c>
      <c r="E101" s="23">
        <v>46104.2</v>
      </c>
      <c r="F101" s="23">
        <v>46104.649305555547</v>
      </c>
      <c r="G101" s="23">
        <v>46104.756249999999</v>
      </c>
      <c r="H101" s="24">
        <f t="shared" si="24"/>
        <v>4.9000000000814907</v>
      </c>
      <c r="I101" s="24">
        <f t="shared" si="25"/>
        <v>12.566666666592937</v>
      </c>
      <c r="J101" s="24">
        <f t="shared" si="26"/>
        <v>5.3499999999767169</v>
      </c>
      <c r="K101" s="24">
        <f t="shared" si="27"/>
        <v>10.783333333209157</v>
      </c>
      <c r="L101" s="24">
        <f t="shared" si="28"/>
        <v>2.5666666668257676</v>
      </c>
      <c r="M101" t="str">
        <f t="shared" si="29"/>
        <v>OK</v>
      </c>
      <c r="N101" s="24">
        <f t="shared" si="30"/>
        <v>4.9000000000814907</v>
      </c>
      <c r="O101" s="24">
        <f t="shared" si="31"/>
        <v>12.566666666592937</v>
      </c>
      <c r="P101" s="24">
        <f t="shared" si="32"/>
        <v>5.3499999999767169</v>
      </c>
      <c r="Q101" s="24">
        <f t="shared" si="33"/>
        <v>10.783333333209157</v>
      </c>
      <c r="R101" s="24">
        <f t="shared" si="34"/>
        <v>2.5666666668257676</v>
      </c>
      <c r="S101" s="24">
        <f t="shared" si="35"/>
        <v>36.166666666686069</v>
      </c>
    </row>
    <row r="102" spans="1:19" x14ac:dyDescent="0.3">
      <c r="A102" t="s">
        <v>261</v>
      </c>
      <c r="B102" s="23">
        <v>46103.404166666667</v>
      </c>
      <c r="C102" s="23">
        <v>46103.563194444447</v>
      </c>
      <c r="D102" s="23">
        <v>46104.474305555559</v>
      </c>
      <c r="E102" s="23">
        <v>46105.104861111111</v>
      </c>
      <c r="F102" s="23">
        <v>46105.536111111112</v>
      </c>
      <c r="G102" s="23">
        <v>46105.646527777782</v>
      </c>
      <c r="H102" s="24">
        <f t="shared" ref="H102:H133" si="36">IF(OR(B102="",C102=""),"",(C102-B102)*24)</f>
        <v>3.8166666667093523</v>
      </c>
      <c r="I102" s="24">
        <f t="shared" ref="I102:I133" si="37">IF(OR(C102="",D102=""),"",(D102-C102)*24)</f>
        <v>21.866666666697711</v>
      </c>
      <c r="J102" s="24">
        <f t="shared" ref="J102:J133" si="38">IF(OR(D102="",E102=""),"",(E102-D102)*24)</f>
        <v>15.133333333244082</v>
      </c>
      <c r="K102" s="24">
        <f t="shared" ref="K102:K133" si="39">IF(OR(E102="",F102=""),"",(F102-E102)*24)</f>
        <v>10.350000000034925</v>
      </c>
      <c r="L102" s="24">
        <f t="shared" ref="L102:L133" si="40">IF(OR(F102="",G102=""),"",(G102-F102)*24)</f>
        <v>2.6500000000814907</v>
      </c>
      <c r="M102" t="str">
        <f t="shared" ref="M102:M133" si="41">IF(COUNT(B102:G102)&lt;6,"Missing timestamp",IF(MIN(H102:L102)&lt;0,"Negative duration","OK"))</f>
        <v>OK</v>
      </c>
      <c r="N102" s="24">
        <f t="shared" ref="N102:N133" si="42">IF($M102="OK",H102,"")</f>
        <v>3.8166666667093523</v>
      </c>
      <c r="O102" s="24">
        <f t="shared" ref="O102:O133" si="43">IF($M102="OK",I102,"")</f>
        <v>21.866666666697711</v>
      </c>
      <c r="P102" s="24">
        <f t="shared" ref="P102:P133" si="44">IF($M102="OK",J102,"")</f>
        <v>15.133333333244082</v>
      </c>
      <c r="Q102" s="24">
        <f t="shared" ref="Q102:Q133" si="45">IF($M102="OK",K102,"")</f>
        <v>10.350000000034925</v>
      </c>
      <c r="R102" s="24">
        <f t="shared" ref="R102:R133" si="46">IF($M102="OK",L102,"")</f>
        <v>2.6500000000814907</v>
      </c>
      <c r="S102" s="24">
        <f t="shared" ref="S102:S133" si="47">IF(M102="OK",SUM(N102:R102),"")</f>
        <v>53.81666666676756</v>
      </c>
    </row>
    <row r="103" spans="1:19" x14ac:dyDescent="0.3">
      <c r="A103" t="s">
        <v>262</v>
      </c>
      <c r="B103" s="23">
        <v>46103.484027777777</v>
      </c>
      <c r="C103" s="23">
        <v>46103.692361111112</v>
      </c>
      <c r="D103" s="23">
        <v>46104.251388888893</v>
      </c>
      <c r="E103" s="23">
        <v>46105.275694444441</v>
      </c>
      <c r="F103" s="23">
        <v>46105.540277777778</v>
      </c>
      <c r="G103" s="23">
        <v>46105.675694444442</v>
      </c>
      <c r="H103" s="24">
        <f t="shared" si="36"/>
        <v>5.0000000000582077</v>
      </c>
      <c r="I103" s="24">
        <f t="shared" si="37"/>
        <v>13.416666666744277</v>
      </c>
      <c r="J103" s="24">
        <f t="shared" si="38"/>
        <v>24.583333333139308</v>
      </c>
      <c r="K103" s="24">
        <f t="shared" si="39"/>
        <v>6.3500000000931323</v>
      </c>
      <c r="L103" s="24">
        <f t="shared" si="40"/>
        <v>3.2499999999417923</v>
      </c>
      <c r="M103" t="str">
        <f t="shared" si="41"/>
        <v>OK</v>
      </c>
      <c r="N103" s="24">
        <f t="shared" si="42"/>
        <v>5.0000000000582077</v>
      </c>
      <c r="O103" s="24">
        <f t="shared" si="43"/>
        <v>13.416666666744277</v>
      </c>
      <c r="P103" s="24">
        <f t="shared" si="44"/>
        <v>24.583333333139308</v>
      </c>
      <c r="Q103" s="24">
        <f t="shared" si="45"/>
        <v>6.3500000000931323</v>
      </c>
      <c r="R103" s="24">
        <f t="shared" si="46"/>
        <v>3.2499999999417923</v>
      </c>
      <c r="S103" s="24">
        <f t="shared" si="47"/>
        <v>52.599999999976717</v>
      </c>
    </row>
    <row r="104" spans="1:19" x14ac:dyDescent="0.3">
      <c r="A104" t="s">
        <v>263</v>
      </c>
      <c r="B104" s="23">
        <v>46103.669444444437</v>
      </c>
      <c r="C104" s="23">
        <v>46103.917361111111</v>
      </c>
      <c r="D104" s="23">
        <v>46104.806250000001</v>
      </c>
      <c r="E104" s="23">
        <v>46105.602777777778</v>
      </c>
      <c r="F104" s="23">
        <v>46105.806944444441</v>
      </c>
      <c r="G104" s="23">
        <v>46105.965277777781</v>
      </c>
      <c r="H104" s="24">
        <f t="shared" si="36"/>
        <v>5.9500000001862645</v>
      </c>
      <c r="I104" s="24">
        <f t="shared" si="37"/>
        <v>21.333333333372138</v>
      </c>
      <c r="J104" s="24">
        <f t="shared" si="38"/>
        <v>19.116666666639503</v>
      </c>
      <c r="K104" s="24">
        <f t="shared" si="39"/>
        <v>4.8999999999068677</v>
      </c>
      <c r="L104" s="24">
        <f t="shared" si="40"/>
        <v>3.8000000001629815</v>
      </c>
      <c r="M104" t="str">
        <f t="shared" si="41"/>
        <v>OK</v>
      </c>
      <c r="N104" s="24">
        <f t="shared" si="42"/>
        <v>5.9500000001862645</v>
      </c>
      <c r="O104" s="24">
        <f t="shared" si="43"/>
        <v>21.333333333372138</v>
      </c>
      <c r="P104" s="24">
        <f t="shared" si="44"/>
        <v>19.116666666639503</v>
      </c>
      <c r="Q104" s="24">
        <f t="shared" si="45"/>
        <v>4.8999999999068677</v>
      </c>
      <c r="R104" s="24">
        <f t="shared" si="46"/>
        <v>3.8000000001629815</v>
      </c>
      <c r="S104" s="24">
        <f t="shared" si="47"/>
        <v>55.100000000267755</v>
      </c>
    </row>
    <row r="105" spans="1:19" x14ac:dyDescent="0.3">
      <c r="A105" t="s">
        <v>264</v>
      </c>
      <c r="B105" s="23">
        <v>46104.425000000003</v>
      </c>
      <c r="C105" s="23">
        <v>46104.661111111112</v>
      </c>
      <c r="D105" s="23">
        <v>46105.640972222223</v>
      </c>
      <c r="E105" s="23">
        <v>46106.466666666667</v>
      </c>
      <c r="F105" s="23">
        <v>46106.763194444437</v>
      </c>
      <c r="G105" s="23">
        <v>46106.931250000001</v>
      </c>
      <c r="H105" s="24">
        <f t="shared" si="36"/>
        <v>5.6666666666278616</v>
      </c>
      <c r="I105" s="24">
        <f t="shared" si="37"/>
        <v>23.516666666662786</v>
      </c>
      <c r="J105" s="24">
        <f t="shared" si="38"/>
        <v>19.816666666651145</v>
      </c>
      <c r="K105" s="24">
        <f t="shared" si="39"/>
        <v>7.1166666664648801</v>
      </c>
      <c r="L105" s="24">
        <f t="shared" si="40"/>
        <v>4.033333333558403</v>
      </c>
      <c r="M105" t="str">
        <f t="shared" si="41"/>
        <v>OK</v>
      </c>
      <c r="N105" s="24">
        <f t="shared" si="42"/>
        <v>5.6666666666278616</v>
      </c>
      <c r="O105" s="24">
        <f t="shared" si="43"/>
        <v>23.516666666662786</v>
      </c>
      <c r="P105" s="24">
        <f t="shared" si="44"/>
        <v>19.816666666651145</v>
      </c>
      <c r="Q105" s="24">
        <f t="shared" si="45"/>
        <v>7.1166666664648801</v>
      </c>
      <c r="R105" s="24">
        <f t="shared" si="46"/>
        <v>4.033333333558403</v>
      </c>
      <c r="S105" s="24">
        <f t="shared" si="47"/>
        <v>60.149999999965075</v>
      </c>
    </row>
    <row r="106" spans="1:19" x14ac:dyDescent="0.3">
      <c r="A106" t="s">
        <v>265</v>
      </c>
      <c r="B106" s="23">
        <v>46104.474305555559</v>
      </c>
      <c r="C106" s="23">
        <v>46104.689583333333</v>
      </c>
      <c r="D106" s="23">
        <v>46105.068055555559</v>
      </c>
      <c r="E106" s="23">
        <v>46105.386111111111</v>
      </c>
      <c r="F106" s="23">
        <v>46105.952777777777</v>
      </c>
      <c r="G106" s="23">
        <v>46105.99722222222</v>
      </c>
      <c r="H106" s="24">
        <f t="shared" si="36"/>
        <v>5.1666666665696539</v>
      </c>
      <c r="I106" s="24">
        <f t="shared" si="37"/>
        <v>9.0833333334303461</v>
      </c>
      <c r="J106" s="24">
        <f t="shared" si="38"/>
        <v>7.6333333332440816</v>
      </c>
      <c r="K106" s="24">
        <f t="shared" si="39"/>
        <v>13.599999999976717</v>
      </c>
      <c r="L106" s="24">
        <f t="shared" si="40"/>
        <v>1.0666666666511446</v>
      </c>
      <c r="M106" t="str">
        <f t="shared" si="41"/>
        <v>OK</v>
      </c>
      <c r="N106" s="24">
        <f t="shared" si="42"/>
        <v>5.1666666665696539</v>
      </c>
      <c r="O106" s="24">
        <f t="shared" si="43"/>
        <v>9.0833333334303461</v>
      </c>
      <c r="P106" s="24">
        <f t="shared" si="44"/>
        <v>7.6333333332440816</v>
      </c>
      <c r="Q106" s="24">
        <f t="shared" si="45"/>
        <v>13.599999999976717</v>
      </c>
      <c r="R106" s="24">
        <f t="shared" si="46"/>
        <v>1.0666666666511446</v>
      </c>
      <c r="S106" s="24">
        <f t="shared" si="47"/>
        <v>36.549999999871943</v>
      </c>
    </row>
    <row r="107" spans="1:19" x14ac:dyDescent="0.3">
      <c r="A107" t="s">
        <v>266</v>
      </c>
      <c r="B107" s="23">
        <v>46104.556250000001</v>
      </c>
      <c r="C107" s="23">
        <v>46104.792361111111</v>
      </c>
      <c r="D107" s="23">
        <v>46105.650694444441</v>
      </c>
      <c r="E107" s="23">
        <v>46106.275694444441</v>
      </c>
      <c r="F107" s="23">
        <v>46106.595138888893</v>
      </c>
      <c r="G107" s="23">
        <v>46106.675694444442</v>
      </c>
      <c r="H107" s="24">
        <f t="shared" si="36"/>
        <v>5.6666666666278616</v>
      </c>
      <c r="I107" s="24">
        <f t="shared" si="37"/>
        <v>20.599999999918509</v>
      </c>
      <c r="J107" s="24">
        <f t="shared" si="38"/>
        <v>15</v>
      </c>
      <c r="K107" s="24">
        <f t="shared" si="39"/>
        <v>7.6666666668606922</v>
      </c>
      <c r="L107" s="24">
        <f t="shared" si="40"/>
        <v>1.9333333331742324</v>
      </c>
      <c r="M107" t="str">
        <f t="shared" si="41"/>
        <v>OK</v>
      </c>
      <c r="N107" s="24">
        <f t="shared" si="42"/>
        <v>5.6666666666278616</v>
      </c>
      <c r="O107" s="24">
        <f t="shared" si="43"/>
        <v>20.599999999918509</v>
      </c>
      <c r="P107" s="24">
        <f t="shared" si="44"/>
        <v>15</v>
      </c>
      <c r="Q107" s="24">
        <f t="shared" si="45"/>
        <v>7.6666666668606922</v>
      </c>
      <c r="R107" s="24">
        <f t="shared" si="46"/>
        <v>1.9333333331742324</v>
      </c>
      <c r="S107" s="24">
        <f t="shared" si="47"/>
        <v>50.866666666581295</v>
      </c>
    </row>
    <row r="108" spans="1:19" x14ac:dyDescent="0.3">
      <c r="A108" t="s">
        <v>267</v>
      </c>
      <c r="B108" s="23">
        <v>46104.59375</v>
      </c>
      <c r="C108" s="23">
        <v>46104.86041666667</v>
      </c>
      <c r="D108" s="23">
        <v>46105.385416666657</v>
      </c>
      <c r="E108" s="23">
        <v>46106.931944444441</v>
      </c>
      <c r="F108" s="23">
        <v>46107.259027777778</v>
      </c>
      <c r="G108" s="23">
        <v>46107.388888888891</v>
      </c>
      <c r="H108" s="24">
        <f t="shared" si="36"/>
        <v>6.4000000000814907</v>
      </c>
      <c r="I108" s="24">
        <f t="shared" si="37"/>
        <v>12.599999999685679</v>
      </c>
      <c r="J108" s="24">
        <f t="shared" si="38"/>
        <v>37.116666666814126</v>
      </c>
      <c r="K108" s="24">
        <f t="shared" si="39"/>
        <v>7.8500000000931323</v>
      </c>
      <c r="L108" s="24">
        <f t="shared" si="40"/>
        <v>3.1166666666977108</v>
      </c>
      <c r="M108" t="str">
        <f t="shared" si="41"/>
        <v>OK</v>
      </c>
      <c r="N108" s="24">
        <f t="shared" si="42"/>
        <v>6.4000000000814907</v>
      </c>
      <c r="O108" s="24">
        <f t="shared" si="43"/>
        <v>12.599999999685679</v>
      </c>
      <c r="P108" s="24">
        <f t="shared" si="44"/>
        <v>37.116666666814126</v>
      </c>
      <c r="Q108" s="24">
        <f t="shared" si="45"/>
        <v>7.8500000000931323</v>
      </c>
      <c r="R108" s="24">
        <f t="shared" si="46"/>
        <v>3.1166666666977108</v>
      </c>
      <c r="S108" s="24">
        <f t="shared" si="47"/>
        <v>67.083333333372138</v>
      </c>
    </row>
    <row r="109" spans="1:19" x14ac:dyDescent="0.3">
      <c r="A109" t="s">
        <v>268</v>
      </c>
      <c r="B109" s="23">
        <v>46104.784722222219</v>
      </c>
      <c r="C109" s="23">
        <v>46104.888888888891</v>
      </c>
      <c r="D109" s="23">
        <v>46105.48541666667</v>
      </c>
      <c r="E109" s="23">
        <v>46105.820138888892</v>
      </c>
      <c r="F109" s="23">
        <v>46106.13958333333</v>
      </c>
      <c r="G109" s="23">
        <v>46106.313194444447</v>
      </c>
      <c r="H109" s="24">
        <f t="shared" si="36"/>
        <v>2.5000000001164153</v>
      </c>
      <c r="I109" s="24">
        <f t="shared" si="37"/>
        <v>14.316666666709352</v>
      </c>
      <c r="J109" s="24">
        <f t="shared" si="38"/>
        <v>8.0333333333255723</v>
      </c>
      <c r="K109" s="24">
        <f t="shared" si="39"/>
        <v>7.6666666665114462</v>
      </c>
      <c r="L109" s="24">
        <f t="shared" si="40"/>
        <v>4.1666666668024845</v>
      </c>
      <c r="M109" t="str">
        <f t="shared" si="41"/>
        <v>OK</v>
      </c>
      <c r="N109" s="24">
        <f t="shared" si="42"/>
        <v>2.5000000001164153</v>
      </c>
      <c r="O109" s="24">
        <f t="shared" si="43"/>
        <v>14.316666666709352</v>
      </c>
      <c r="P109" s="24">
        <f t="shared" si="44"/>
        <v>8.0333333333255723</v>
      </c>
      <c r="Q109" s="24">
        <f t="shared" si="45"/>
        <v>7.6666666665114462</v>
      </c>
      <c r="R109" s="24">
        <f t="shared" si="46"/>
        <v>4.1666666668024845</v>
      </c>
      <c r="S109" s="24">
        <f t="shared" si="47"/>
        <v>36.683333333465271</v>
      </c>
    </row>
    <row r="110" spans="1:19" x14ac:dyDescent="0.3">
      <c r="A110" t="s">
        <v>269</v>
      </c>
      <c r="B110" s="23">
        <v>46105.259027777778</v>
      </c>
      <c r="C110" s="23">
        <v>46105.536805555559</v>
      </c>
      <c r="D110" s="23">
        <v>46106.039583333331</v>
      </c>
      <c r="E110" s="23">
        <v>46105.956250000003</v>
      </c>
      <c r="F110" s="23">
        <v>46107.181944444441</v>
      </c>
      <c r="G110" s="23">
        <v>46107.293749999997</v>
      </c>
      <c r="H110" s="24">
        <f t="shared" si="36"/>
        <v>6.6666666667442769</v>
      </c>
      <c r="I110" s="24">
        <f t="shared" si="37"/>
        <v>12.066666666534729</v>
      </c>
      <c r="J110" s="24">
        <f t="shared" si="38"/>
        <v>-1.9999999998835847</v>
      </c>
      <c r="K110" s="24">
        <f t="shared" si="39"/>
        <v>29.416666666511446</v>
      </c>
      <c r="L110" s="24">
        <f t="shared" si="40"/>
        <v>2.6833333333488554</v>
      </c>
      <c r="M110" t="str">
        <f t="shared" si="41"/>
        <v>Negative duration</v>
      </c>
      <c r="N110" s="24" t="str">
        <f t="shared" si="42"/>
        <v/>
      </c>
      <c r="O110" s="24" t="str">
        <f t="shared" si="43"/>
        <v/>
      </c>
      <c r="P110" s="24" t="str">
        <f t="shared" si="44"/>
        <v/>
      </c>
      <c r="Q110" s="24" t="str">
        <f t="shared" si="45"/>
        <v/>
      </c>
      <c r="R110" s="24" t="str">
        <f t="shared" si="46"/>
        <v/>
      </c>
      <c r="S110" s="24" t="str">
        <f t="shared" si="47"/>
        <v/>
      </c>
    </row>
    <row r="111" spans="1:19" x14ac:dyDescent="0.3">
      <c r="A111" t="s">
        <v>270</v>
      </c>
      <c r="B111" s="23">
        <v>46105.490277777782</v>
      </c>
      <c r="C111" s="23"/>
      <c r="D111" s="23">
        <v>46106.69027777778</v>
      </c>
      <c r="E111" s="23">
        <v>46109.547222222223</v>
      </c>
      <c r="F111" s="23">
        <v>46109.956944444442</v>
      </c>
      <c r="G111" s="23">
        <v>46110.091666666667</v>
      </c>
      <c r="H111" s="24" t="str">
        <f t="shared" si="36"/>
        <v/>
      </c>
      <c r="I111" s="24" t="str">
        <f t="shared" si="37"/>
        <v/>
      </c>
      <c r="J111" s="24">
        <f t="shared" si="38"/>
        <v>68.566666666651145</v>
      </c>
      <c r="K111" s="24">
        <f t="shared" si="39"/>
        <v>9.8333333332557231</v>
      </c>
      <c r="L111" s="24">
        <f t="shared" si="40"/>
        <v>3.2333333333954215</v>
      </c>
      <c r="M111" t="str">
        <f t="shared" si="41"/>
        <v>Missing timestamp</v>
      </c>
      <c r="N111" s="24" t="str">
        <f t="shared" si="42"/>
        <v/>
      </c>
      <c r="O111" s="24" t="str">
        <f t="shared" si="43"/>
        <v/>
      </c>
      <c r="P111" s="24" t="str">
        <f t="shared" si="44"/>
        <v/>
      </c>
      <c r="Q111" s="24" t="str">
        <f t="shared" si="45"/>
        <v/>
      </c>
      <c r="R111" s="24" t="str">
        <f t="shared" si="46"/>
        <v/>
      </c>
      <c r="S111" s="24" t="str">
        <f t="shared" si="47"/>
        <v/>
      </c>
    </row>
    <row r="112" spans="1:19" x14ac:dyDescent="0.3">
      <c r="A112" t="s">
        <v>271</v>
      </c>
      <c r="B112" s="23">
        <v>46105.535416666673</v>
      </c>
      <c r="C112" s="23">
        <v>46105.730555555558</v>
      </c>
      <c r="D112" s="23">
        <v>46106.43472222222</v>
      </c>
      <c r="E112" s="23">
        <v>46107.906944444447</v>
      </c>
      <c r="F112" s="23">
        <v>46108.135416666657</v>
      </c>
      <c r="G112" s="23">
        <v>46108.186111111107</v>
      </c>
      <c r="H112" s="24">
        <f t="shared" si="36"/>
        <v>4.6833333332324401</v>
      </c>
      <c r="I112" s="24">
        <f t="shared" si="37"/>
        <v>16.899999999906868</v>
      </c>
      <c r="J112" s="24">
        <f t="shared" si="38"/>
        <v>35.333333333430346</v>
      </c>
      <c r="K112" s="24">
        <f t="shared" si="39"/>
        <v>5.4833333330461755</v>
      </c>
      <c r="L112" s="24">
        <f t="shared" si="40"/>
        <v>1.216666666790843</v>
      </c>
      <c r="M112" t="str">
        <f t="shared" si="41"/>
        <v>OK</v>
      </c>
      <c r="N112" s="24">
        <f t="shared" si="42"/>
        <v>4.6833333332324401</v>
      </c>
      <c r="O112" s="24">
        <f t="shared" si="43"/>
        <v>16.899999999906868</v>
      </c>
      <c r="P112" s="24">
        <f t="shared" si="44"/>
        <v>35.333333333430346</v>
      </c>
      <c r="Q112" s="24">
        <f t="shared" si="45"/>
        <v>5.4833333330461755</v>
      </c>
      <c r="R112" s="24">
        <f t="shared" si="46"/>
        <v>1.216666666790843</v>
      </c>
      <c r="S112" s="24">
        <f t="shared" si="47"/>
        <v>63.616666666406672</v>
      </c>
    </row>
    <row r="113" spans="1:19" x14ac:dyDescent="0.3">
      <c r="A113" t="s">
        <v>272</v>
      </c>
      <c r="B113" s="23">
        <v>46105.611805555563</v>
      </c>
      <c r="C113" s="23">
        <v>46105.738194444442</v>
      </c>
      <c r="D113" s="23">
        <v>46106.561805555553</v>
      </c>
      <c r="E113" s="23">
        <v>46107.823611111111</v>
      </c>
      <c r="F113" s="23">
        <v>46108.168055555558</v>
      </c>
      <c r="G113" s="23">
        <v>46108.22152777778</v>
      </c>
      <c r="H113" s="24">
        <f t="shared" si="36"/>
        <v>3.0333333330927417</v>
      </c>
      <c r="I113" s="24">
        <f t="shared" si="37"/>
        <v>19.766666666662786</v>
      </c>
      <c r="J113" s="24">
        <f t="shared" si="38"/>
        <v>30.28333333338378</v>
      </c>
      <c r="K113" s="24">
        <f t="shared" si="39"/>
        <v>8.2666666667209938</v>
      </c>
      <c r="L113" s="24">
        <f t="shared" si="40"/>
        <v>1.2833333333255723</v>
      </c>
      <c r="M113" t="str">
        <f t="shared" si="41"/>
        <v>OK</v>
      </c>
      <c r="N113" s="24">
        <f t="shared" si="42"/>
        <v>3.0333333330927417</v>
      </c>
      <c r="O113" s="24">
        <f t="shared" si="43"/>
        <v>19.766666666662786</v>
      </c>
      <c r="P113" s="24">
        <f t="shared" si="44"/>
        <v>30.28333333338378</v>
      </c>
      <c r="Q113" s="24">
        <f t="shared" si="45"/>
        <v>8.2666666667209938</v>
      </c>
      <c r="R113" s="24">
        <f t="shared" si="46"/>
        <v>1.2833333333255723</v>
      </c>
      <c r="S113" s="24">
        <f t="shared" si="47"/>
        <v>62.633333333185874</v>
      </c>
    </row>
    <row r="114" spans="1:19" x14ac:dyDescent="0.3">
      <c r="A114" t="s">
        <v>273</v>
      </c>
      <c r="B114" s="23">
        <v>46106.839583333327</v>
      </c>
      <c r="C114" s="23">
        <v>46107.143055555563</v>
      </c>
      <c r="D114" s="23">
        <v>46107.638194444437</v>
      </c>
      <c r="E114" s="23">
        <v>46108.255555555559</v>
      </c>
      <c r="F114" s="23">
        <v>46108.572916666657</v>
      </c>
      <c r="G114" s="23">
        <v>46108.705555555563</v>
      </c>
      <c r="H114" s="24">
        <f t="shared" si="36"/>
        <v>7.2833333336748183</v>
      </c>
      <c r="I114" s="24">
        <f t="shared" si="37"/>
        <v>11.883333332953043</v>
      </c>
      <c r="J114" s="24">
        <f t="shared" si="38"/>
        <v>14.816666666942183</v>
      </c>
      <c r="K114" s="24">
        <f t="shared" si="39"/>
        <v>7.6166666663484648</v>
      </c>
      <c r="L114" s="24">
        <f t="shared" si="40"/>
        <v>3.183333333756309</v>
      </c>
      <c r="M114" t="str">
        <f t="shared" si="41"/>
        <v>OK</v>
      </c>
      <c r="N114" s="24">
        <f t="shared" si="42"/>
        <v>7.2833333336748183</v>
      </c>
      <c r="O114" s="24">
        <f t="shared" si="43"/>
        <v>11.883333332953043</v>
      </c>
      <c r="P114" s="24">
        <f t="shared" si="44"/>
        <v>14.816666666942183</v>
      </c>
      <c r="Q114" s="24">
        <f t="shared" si="45"/>
        <v>7.6166666663484648</v>
      </c>
      <c r="R114" s="24">
        <f t="shared" si="46"/>
        <v>3.183333333756309</v>
      </c>
      <c r="S114" s="24">
        <f t="shared" si="47"/>
        <v>44.783333333674818</v>
      </c>
    </row>
    <row r="115" spans="1:19" x14ac:dyDescent="0.3">
      <c r="A115" t="s">
        <v>274</v>
      </c>
      <c r="B115" s="23">
        <v>46106.953472222223</v>
      </c>
      <c r="C115" s="23">
        <v>46107.097916666673</v>
      </c>
      <c r="D115" s="23">
        <v>46107.620138888888</v>
      </c>
      <c r="E115" s="23">
        <v>46108.162499999999</v>
      </c>
      <c r="F115" s="23">
        <v>46108.42083333333</v>
      </c>
      <c r="G115" s="23">
        <v>46108.554861111108</v>
      </c>
      <c r="H115" s="24">
        <f t="shared" si="36"/>
        <v>3.466666666790843</v>
      </c>
      <c r="I115" s="24">
        <f t="shared" si="37"/>
        <v>12.533333333150949</v>
      </c>
      <c r="J115" s="24">
        <f t="shared" si="38"/>
        <v>13.016666666662786</v>
      </c>
      <c r="K115" s="24">
        <f t="shared" si="39"/>
        <v>6.1999999999534339</v>
      </c>
      <c r="L115" s="24">
        <f t="shared" si="40"/>
        <v>3.2166666666744277</v>
      </c>
      <c r="M115" t="str">
        <f t="shared" si="41"/>
        <v>OK</v>
      </c>
      <c r="N115" s="24">
        <f t="shared" si="42"/>
        <v>3.466666666790843</v>
      </c>
      <c r="O115" s="24">
        <f t="shared" si="43"/>
        <v>12.533333333150949</v>
      </c>
      <c r="P115" s="24">
        <f t="shared" si="44"/>
        <v>13.016666666662786</v>
      </c>
      <c r="Q115" s="24">
        <f t="shared" si="45"/>
        <v>6.1999999999534339</v>
      </c>
      <c r="R115" s="24">
        <f t="shared" si="46"/>
        <v>3.2166666666744277</v>
      </c>
      <c r="S115" s="24">
        <f t="shared" si="47"/>
        <v>38.43333333323244</v>
      </c>
    </row>
    <row r="116" spans="1:19" x14ac:dyDescent="0.3">
      <c r="A116" t="s">
        <v>275</v>
      </c>
      <c r="B116" s="23">
        <v>46107.082638888889</v>
      </c>
      <c r="C116" s="23">
        <v>46107.288194444453</v>
      </c>
      <c r="D116" s="23">
        <v>46108.180555555547</v>
      </c>
      <c r="E116" s="23">
        <v>46108.472222222219</v>
      </c>
      <c r="F116" s="23">
        <v>46109.061111111107</v>
      </c>
      <c r="G116" s="23">
        <v>46109.243055555547</v>
      </c>
      <c r="H116" s="24">
        <f t="shared" si="36"/>
        <v>4.9333333335234784</v>
      </c>
      <c r="I116" s="24">
        <f t="shared" si="37"/>
        <v>21.416666666278616</v>
      </c>
      <c r="J116" s="24">
        <f t="shared" si="38"/>
        <v>7.0000000001164153</v>
      </c>
      <c r="K116" s="24">
        <f t="shared" si="39"/>
        <v>14.133333333302289</v>
      </c>
      <c r="L116" s="24">
        <f t="shared" si="40"/>
        <v>4.3666666665812954</v>
      </c>
      <c r="M116" t="str">
        <f t="shared" si="41"/>
        <v>OK</v>
      </c>
      <c r="N116" s="24">
        <f t="shared" si="42"/>
        <v>4.9333333335234784</v>
      </c>
      <c r="O116" s="24">
        <f t="shared" si="43"/>
        <v>21.416666666278616</v>
      </c>
      <c r="P116" s="24">
        <f t="shared" si="44"/>
        <v>7.0000000001164153</v>
      </c>
      <c r="Q116" s="24">
        <f t="shared" si="45"/>
        <v>14.133333333302289</v>
      </c>
      <c r="R116" s="24">
        <f t="shared" si="46"/>
        <v>4.3666666665812954</v>
      </c>
      <c r="S116" s="24">
        <f t="shared" si="47"/>
        <v>51.849999999802094</v>
      </c>
    </row>
    <row r="117" spans="1:19" x14ac:dyDescent="0.3">
      <c r="A117" t="s">
        <v>276</v>
      </c>
      <c r="B117" s="23">
        <v>46107.186805555553</v>
      </c>
      <c r="C117" s="23">
        <v>46107.574305555558</v>
      </c>
      <c r="D117" s="23">
        <v>46108.956944444442</v>
      </c>
      <c r="E117" s="23">
        <v>46109.445138888892</v>
      </c>
      <c r="F117" s="23">
        <v>46110.186805555553</v>
      </c>
      <c r="G117" s="23">
        <v>46110.305555555547</v>
      </c>
      <c r="H117" s="24">
        <f t="shared" si="36"/>
        <v>9.3000000001047738</v>
      </c>
      <c r="I117" s="24">
        <f t="shared" si="37"/>
        <v>33.18333333323244</v>
      </c>
      <c r="J117" s="24">
        <f t="shared" si="38"/>
        <v>11.716666666790843</v>
      </c>
      <c r="K117" s="24">
        <f t="shared" si="39"/>
        <v>17.799999999871943</v>
      </c>
      <c r="L117" s="24">
        <f t="shared" si="40"/>
        <v>2.8499999998603016</v>
      </c>
      <c r="M117" t="str">
        <f t="shared" si="41"/>
        <v>OK</v>
      </c>
      <c r="N117" s="24">
        <f t="shared" si="42"/>
        <v>9.3000000001047738</v>
      </c>
      <c r="O117" s="24">
        <f t="shared" si="43"/>
        <v>33.18333333323244</v>
      </c>
      <c r="P117" s="24">
        <f t="shared" si="44"/>
        <v>11.716666666790843</v>
      </c>
      <c r="Q117" s="24">
        <f t="shared" si="45"/>
        <v>17.799999999871943</v>
      </c>
      <c r="R117" s="24">
        <f t="shared" si="46"/>
        <v>2.8499999998603016</v>
      </c>
      <c r="S117" s="24">
        <f t="shared" si="47"/>
        <v>74.849999999860302</v>
      </c>
    </row>
    <row r="118" spans="1:19" x14ac:dyDescent="0.3">
      <c r="A118" t="s">
        <v>277</v>
      </c>
      <c r="B118" s="23">
        <v>46107.394444444442</v>
      </c>
      <c r="C118" s="23">
        <v>46107.815972222219</v>
      </c>
      <c r="D118" s="23">
        <v>46108.388194444437</v>
      </c>
      <c r="E118" s="23">
        <v>46109.277777777781</v>
      </c>
      <c r="F118" s="23">
        <v>46109.67083333333</v>
      </c>
      <c r="G118" s="23">
        <v>46109.757638888892</v>
      </c>
      <c r="H118" s="24">
        <f t="shared" si="36"/>
        <v>10.116666666639503</v>
      </c>
      <c r="I118" s="24">
        <f t="shared" si="37"/>
        <v>13.733333333220799</v>
      </c>
      <c r="J118" s="24">
        <f t="shared" si="38"/>
        <v>21.350000000267755</v>
      </c>
      <c r="K118" s="24">
        <f t="shared" si="39"/>
        <v>9.4333333331742324</v>
      </c>
      <c r="L118" s="24">
        <f t="shared" si="40"/>
        <v>2.0833333334885538</v>
      </c>
      <c r="M118" t="str">
        <f t="shared" si="41"/>
        <v>OK</v>
      </c>
      <c r="N118" s="24">
        <f t="shared" si="42"/>
        <v>10.116666666639503</v>
      </c>
      <c r="O118" s="24">
        <f t="shared" si="43"/>
        <v>13.733333333220799</v>
      </c>
      <c r="P118" s="24">
        <f t="shared" si="44"/>
        <v>21.350000000267755</v>
      </c>
      <c r="Q118" s="24">
        <f t="shared" si="45"/>
        <v>9.4333333331742324</v>
      </c>
      <c r="R118" s="24">
        <f t="shared" si="46"/>
        <v>2.0833333334885538</v>
      </c>
      <c r="S118" s="24">
        <f t="shared" si="47"/>
        <v>56.716666666790843</v>
      </c>
    </row>
    <row r="119" spans="1:19" x14ac:dyDescent="0.3">
      <c r="A119" t="s">
        <v>278</v>
      </c>
      <c r="B119" s="23">
        <v>46107.660416666673</v>
      </c>
      <c r="C119" s="23">
        <v>46107.92083333333</v>
      </c>
      <c r="D119" s="23">
        <v>46108.415277777778</v>
      </c>
      <c r="E119" s="23">
        <v>46108.975694444453</v>
      </c>
      <c r="F119" s="23">
        <v>46109.441666666673</v>
      </c>
      <c r="G119" s="23">
        <v>46109.50277777778</v>
      </c>
      <c r="H119" s="24">
        <f t="shared" si="36"/>
        <v>6.2499999997671694</v>
      </c>
      <c r="I119" s="24">
        <f t="shared" si="37"/>
        <v>11.866666666755918</v>
      </c>
      <c r="J119" s="24">
        <f t="shared" si="38"/>
        <v>13.450000000186265</v>
      </c>
      <c r="K119" s="24">
        <f t="shared" si="39"/>
        <v>11.183333333290648</v>
      </c>
      <c r="L119" s="24">
        <f t="shared" si="40"/>
        <v>1.4666666665580124</v>
      </c>
      <c r="M119" t="str">
        <f t="shared" si="41"/>
        <v>OK</v>
      </c>
      <c r="N119" s="24">
        <f t="shared" si="42"/>
        <v>6.2499999997671694</v>
      </c>
      <c r="O119" s="24">
        <f t="shared" si="43"/>
        <v>11.866666666755918</v>
      </c>
      <c r="P119" s="24">
        <f t="shared" si="44"/>
        <v>13.450000000186265</v>
      </c>
      <c r="Q119" s="24">
        <f t="shared" si="45"/>
        <v>11.183333333290648</v>
      </c>
      <c r="R119" s="24">
        <f t="shared" si="46"/>
        <v>1.4666666665580124</v>
      </c>
      <c r="S119" s="24">
        <f t="shared" si="47"/>
        <v>44.216666666558012</v>
      </c>
    </row>
    <row r="120" spans="1:19" x14ac:dyDescent="0.3">
      <c r="A120" t="s">
        <v>279</v>
      </c>
      <c r="B120" s="23">
        <v>46107.763194444437</v>
      </c>
      <c r="C120" s="23">
        <v>46107.906944444447</v>
      </c>
      <c r="D120" s="23">
        <v>46108.786805555559</v>
      </c>
      <c r="E120" s="23">
        <v>46109.285416666673</v>
      </c>
      <c r="F120" s="23">
        <v>46109.570833333331</v>
      </c>
      <c r="G120" s="23">
        <v>46109.730555555558</v>
      </c>
      <c r="H120" s="24">
        <f t="shared" si="36"/>
        <v>3.4500000002444722</v>
      </c>
      <c r="I120" s="24">
        <f t="shared" si="37"/>
        <v>21.116666666697711</v>
      </c>
      <c r="J120" s="24">
        <f t="shared" si="38"/>
        <v>11.966666666732635</v>
      </c>
      <c r="K120" s="24">
        <f t="shared" si="39"/>
        <v>6.849999999802094</v>
      </c>
      <c r="L120" s="24">
        <f t="shared" si="40"/>
        <v>3.8333333334303461</v>
      </c>
      <c r="M120" t="str">
        <f t="shared" si="41"/>
        <v>OK</v>
      </c>
      <c r="N120" s="24">
        <f t="shared" si="42"/>
        <v>3.4500000002444722</v>
      </c>
      <c r="O120" s="24">
        <f t="shared" si="43"/>
        <v>21.116666666697711</v>
      </c>
      <c r="P120" s="24">
        <f t="shared" si="44"/>
        <v>11.966666666732635</v>
      </c>
      <c r="Q120" s="24">
        <f t="shared" si="45"/>
        <v>6.849999999802094</v>
      </c>
      <c r="R120" s="24">
        <f t="shared" si="46"/>
        <v>3.8333333334303461</v>
      </c>
      <c r="S120" s="24">
        <f t="shared" si="47"/>
        <v>47.216666666907258</v>
      </c>
    </row>
    <row r="121" spans="1:19" x14ac:dyDescent="0.3">
      <c r="A121" t="s">
        <v>280</v>
      </c>
      <c r="B121" s="23">
        <v>46107.820138888892</v>
      </c>
      <c r="C121" s="23">
        <v>46108.133333333331</v>
      </c>
      <c r="D121" s="23">
        <v>46109.094444444447</v>
      </c>
      <c r="E121" s="23">
        <v>46110.464583333327</v>
      </c>
      <c r="F121" s="23">
        <v>46110.745833333327</v>
      </c>
      <c r="G121" s="23">
        <v>46110.84652777778</v>
      </c>
      <c r="H121" s="24">
        <f t="shared" si="36"/>
        <v>7.5166666665463708</v>
      </c>
      <c r="I121" s="24">
        <f t="shared" si="37"/>
        <v>23.06666666676756</v>
      </c>
      <c r="J121" s="24">
        <f t="shared" si="38"/>
        <v>32.883333333127666</v>
      </c>
      <c r="K121" s="24">
        <f t="shared" si="39"/>
        <v>6.75</v>
      </c>
      <c r="L121" s="24">
        <f t="shared" si="40"/>
        <v>2.4166666668606922</v>
      </c>
      <c r="M121" t="str">
        <f t="shared" si="41"/>
        <v>OK</v>
      </c>
      <c r="N121" s="24">
        <f t="shared" si="42"/>
        <v>7.5166666665463708</v>
      </c>
      <c r="O121" s="24">
        <f t="shared" si="43"/>
        <v>23.06666666676756</v>
      </c>
      <c r="P121" s="24">
        <f t="shared" si="44"/>
        <v>32.883333333127666</v>
      </c>
      <c r="Q121" s="24">
        <f t="shared" si="45"/>
        <v>6.75</v>
      </c>
      <c r="R121" s="24">
        <f t="shared" si="46"/>
        <v>2.4166666668606922</v>
      </c>
      <c r="S121" s="24">
        <f t="shared" si="47"/>
        <v>72.633333333302289</v>
      </c>
    </row>
    <row r="122" spans="1:19" x14ac:dyDescent="0.3">
      <c r="A122" t="s">
        <v>281</v>
      </c>
      <c r="B122" s="23">
        <v>46108.339583333327</v>
      </c>
      <c r="C122" s="23">
        <v>46108.574999999997</v>
      </c>
      <c r="D122" s="23">
        <v>46109.441666666673</v>
      </c>
      <c r="E122" s="23">
        <v>46109.82708333333</v>
      </c>
      <c r="F122" s="23">
        <v>46110.161111111112</v>
      </c>
      <c r="G122" s="23">
        <v>46110.228472222218</v>
      </c>
      <c r="H122" s="24">
        <f t="shared" si="36"/>
        <v>5.6500000000814907</v>
      </c>
      <c r="I122" s="24">
        <f t="shared" si="37"/>
        <v>20.800000000221189</v>
      </c>
      <c r="J122" s="24">
        <f t="shared" si="38"/>
        <v>9.2499999997671694</v>
      </c>
      <c r="K122" s="24">
        <f t="shared" si="39"/>
        <v>8.0166666667792015</v>
      </c>
      <c r="L122" s="24">
        <f t="shared" si="40"/>
        <v>1.6166666665230878</v>
      </c>
      <c r="M122" t="str">
        <f t="shared" si="41"/>
        <v>OK</v>
      </c>
      <c r="N122" s="24">
        <f t="shared" si="42"/>
        <v>5.6500000000814907</v>
      </c>
      <c r="O122" s="24">
        <f t="shared" si="43"/>
        <v>20.800000000221189</v>
      </c>
      <c r="P122" s="24">
        <f t="shared" si="44"/>
        <v>9.2499999997671694</v>
      </c>
      <c r="Q122" s="24">
        <f t="shared" si="45"/>
        <v>8.0166666667792015</v>
      </c>
      <c r="R122" s="24">
        <f t="shared" si="46"/>
        <v>1.6166666665230878</v>
      </c>
      <c r="S122" s="24">
        <f t="shared" si="47"/>
        <v>45.333333333372138</v>
      </c>
    </row>
    <row r="123" spans="1:19" x14ac:dyDescent="0.3">
      <c r="A123" t="s">
        <v>282</v>
      </c>
      <c r="B123" s="23">
        <v>46108.36041666667</v>
      </c>
      <c r="C123" s="23">
        <v>46108.760416666657</v>
      </c>
      <c r="D123" s="23">
        <v>46109.486805555563</v>
      </c>
      <c r="E123" s="23">
        <v>46109.9</v>
      </c>
      <c r="F123" s="23">
        <v>46110.20416666667</v>
      </c>
      <c r="G123" s="23">
        <v>46110.344444444447</v>
      </c>
      <c r="H123" s="24">
        <f t="shared" si="36"/>
        <v>9.5999999996856786</v>
      </c>
      <c r="I123" s="24">
        <f t="shared" si="37"/>
        <v>17.433333333756309</v>
      </c>
      <c r="J123" s="24">
        <f t="shared" si="38"/>
        <v>9.9166666665114462</v>
      </c>
      <c r="K123" s="24">
        <f t="shared" si="39"/>
        <v>7.3000000000465661</v>
      </c>
      <c r="L123" s="24">
        <f t="shared" si="40"/>
        <v>3.3666666666395031</v>
      </c>
      <c r="M123" t="str">
        <f t="shared" si="41"/>
        <v>OK</v>
      </c>
      <c r="N123" s="24">
        <f t="shared" si="42"/>
        <v>9.5999999996856786</v>
      </c>
      <c r="O123" s="24">
        <f t="shared" si="43"/>
        <v>17.433333333756309</v>
      </c>
      <c r="P123" s="24">
        <f t="shared" si="44"/>
        <v>9.9166666665114462</v>
      </c>
      <c r="Q123" s="24">
        <f t="shared" si="45"/>
        <v>7.3000000000465661</v>
      </c>
      <c r="R123" s="24">
        <f t="shared" si="46"/>
        <v>3.3666666666395031</v>
      </c>
      <c r="S123" s="24">
        <f t="shared" si="47"/>
        <v>47.616666666639503</v>
      </c>
    </row>
    <row r="124" spans="1:19" x14ac:dyDescent="0.3">
      <c r="A124" t="s">
        <v>283</v>
      </c>
      <c r="B124" s="23">
        <v>46108.506944444453</v>
      </c>
      <c r="C124" s="23">
        <v>46108.738888888889</v>
      </c>
      <c r="D124" s="23">
        <v>46109.554861111108</v>
      </c>
      <c r="E124" s="23">
        <v>46109.945833333331</v>
      </c>
      <c r="F124" s="23">
        <v>46110.374305555553</v>
      </c>
      <c r="G124" s="23">
        <v>46110.700694444437</v>
      </c>
      <c r="H124" s="24">
        <f t="shared" si="36"/>
        <v>5.5666666664765216</v>
      </c>
      <c r="I124" s="24">
        <f t="shared" si="37"/>
        <v>19.583333333255723</v>
      </c>
      <c r="J124" s="24">
        <f t="shared" si="38"/>
        <v>9.3833333333604969</v>
      </c>
      <c r="K124" s="24">
        <f t="shared" si="39"/>
        <v>10.283333333325572</v>
      </c>
      <c r="L124" s="24">
        <f t="shared" si="40"/>
        <v>7.8333333331975155</v>
      </c>
      <c r="M124" t="str">
        <f t="shared" si="41"/>
        <v>OK</v>
      </c>
      <c r="N124" s="24">
        <f t="shared" si="42"/>
        <v>5.5666666664765216</v>
      </c>
      <c r="O124" s="24">
        <f t="shared" si="43"/>
        <v>19.583333333255723</v>
      </c>
      <c r="P124" s="24">
        <f t="shared" si="44"/>
        <v>9.3833333333604969</v>
      </c>
      <c r="Q124" s="24">
        <f t="shared" si="45"/>
        <v>10.283333333325572</v>
      </c>
      <c r="R124" s="24">
        <f t="shared" si="46"/>
        <v>7.8333333331975155</v>
      </c>
      <c r="S124" s="24">
        <f t="shared" si="47"/>
        <v>52.649999999615829</v>
      </c>
    </row>
    <row r="125" spans="1:19" x14ac:dyDescent="0.3">
      <c r="A125" t="s">
        <v>284</v>
      </c>
      <c r="B125" s="23">
        <v>46108.556250000001</v>
      </c>
      <c r="C125" s="23">
        <v>46108.815972222219</v>
      </c>
      <c r="D125" s="23">
        <v>46109.918749999997</v>
      </c>
      <c r="E125" s="23">
        <v>46110.111805555563</v>
      </c>
      <c r="F125" s="23">
        <v>46110.622916666667</v>
      </c>
      <c r="G125" s="23">
        <v>46110.740972222222</v>
      </c>
      <c r="H125" s="24">
        <f t="shared" si="36"/>
        <v>6.2333333332207985</v>
      </c>
      <c r="I125" s="24">
        <f t="shared" si="37"/>
        <v>26.466666666674428</v>
      </c>
      <c r="J125" s="24">
        <f t="shared" si="38"/>
        <v>4.6333333335933276</v>
      </c>
      <c r="K125" s="24">
        <f t="shared" si="39"/>
        <v>12.266666666488163</v>
      </c>
      <c r="L125" s="24">
        <f t="shared" si="40"/>
        <v>2.8333333333139308</v>
      </c>
      <c r="M125" t="str">
        <f t="shared" si="41"/>
        <v>OK</v>
      </c>
      <c r="N125" s="24">
        <f t="shared" si="42"/>
        <v>6.2333333332207985</v>
      </c>
      <c r="O125" s="24">
        <f t="shared" si="43"/>
        <v>26.466666666674428</v>
      </c>
      <c r="P125" s="24">
        <f t="shared" si="44"/>
        <v>4.6333333335933276</v>
      </c>
      <c r="Q125" s="24">
        <f t="shared" si="45"/>
        <v>12.266666666488163</v>
      </c>
      <c r="R125" s="24">
        <f t="shared" si="46"/>
        <v>2.8333333333139308</v>
      </c>
      <c r="S125" s="24">
        <f t="shared" si="47"/>
        <v>52.433333333290648</v>
      </c>
    </row>
    <row r="126" spans="1:19" x14ac:dyDescent="0.3">
      <c r="A126" t="s">
        <v>285</v>
      </c>
      <c r="B126" s="23">
        <v>46108.902083333327</v>
      </c>
      <c r="C126" s="23">
        <v>46109.126388888893</v>
      </c>
      <c r="D126" s="23">
        <v>46109.675000000003</v>
      </c>
      <c r="E126" s="23">
        <v>46110.168749999997</v>
      </c>
      <c r="F126" s="23">
        <v>46110.546527777777</v>
      </c>
      <c r="G126" s="23">
        <v>46110.65625</v>
      </c>
      <c r="H126" s="24">
        <f t="shared" si="36"/>
        <v>5.3833333335933276</v>
      </c>
      <c r="I126" s="24">
        <f t="shared" si="37"/>
        <v>13.166666666627862</v>
      </c>
      <c r="J126" s="24">
        <f t="shared" si="38"/>
        <v>11.849999999860302</v>
      </c>
      <c r="K126" s="24">
        <f t="shared" si="39"/>
        <v>9.0666666667093523</v>
      </c>
      <c r="L126" s="24">
        <f t="shared" si="40"/>
        <v>2.6333333333604969</v>
      </c>
      <c r="M126" t="str">
        <f t="shared" si="41"/>
        <v>OK</v>
      </c>
      <c r="N126" s="24">
        <f t="shared" si="42"/>
        <v>5.3833333335933276</v>
      </c>
      <c r="O126" s="24">
        <f t="shared" si="43"/>
        <v>13.166666666627862</v>
      </c>
      <c r="P126" s="24">
        <f t="shared" si="44"/>
        <v>11.849999999860302</v>
      </c>
      <c r="Q126" s="24">
        <f t="shared" si="45"/>
        <v>9.0666666667093523</v>
      </c>
      <c r="R126" s="24">
        <f t="shared" si="46"/>
        <v>2.6333333333604969</v>
      </c>
      <c r="S126" s="24">
        <f t="shared" si="47"/>
        <v>42.10000000015134</v>
      </c>
    </row>
    <row r="127" spans="1:19" x14ac:dyDescent="0.3">
      <c r="A127" t="s">
        <v>286</v>
      </c>
      <c r="B127" s="23">
        <v>46108.963194444441</v>
      </c>
      <c r="C127" s="23">
        <v>46109.184027777781</v>
      </c>
      <c r="D127" s="23">
        <v>46110.130555555559</v>
      </c>
      <c r="E127" s="23">
        <v>46110.373611111107</v>
      </c>
      <c r="F127" s="23">
        <v>46110.929166666669</v>
      </c>
      <c r="G127" s="23">
        <v>46111.03402777778</v>
      </c>
      <c r="H127" s="24">
        <f t="shared" si="36"/>
        <v>5.3000000001629815</v>
      </c>
      <c r="I127" s="24">
        <f t="shared" si="37"/>
        <v>22.716666666674428</v>
      </c>
      <c r="J127" s="24">
        <f t="shared" si="38"/>
        <v>5.8333333331393078</v>
      </c>
      <c r="K127" s="24">
        <f t="shared" si="39"/>
        <v>13.333333333488554</v>
      </c>
      <c r="L127" s="24">
        <f t="shared" si="40"/>
        <v>2.5166666666627862</v>
      </c>
      <c r="M127" t="str">
        <f t="shared" si="41"/>
        <v>OK</v>
      </c>
      <c r="N127" s="24">
        <f t="shared" si="42"/>
        <v>5.3000000001629815</v>
      </c>
      <c r="O127" s="24">
        <f t="shared" si="43"/>
        <v>22.716666666674428</v>
      </c>
      <c r="P127" s="24">
        <f t="shared" si="44"/>
        <v>5.8333333331393078</v>
      </c>
      <c r="Q127" s="24">
        <f t="shared" si="45"/>
        <v>13.333333333488554</v>
      </c>
      <c r="R127" s="24">
        <f t="shared" si="46"/>
        <v>2.5166666666627862</v>
      </c>
      <c r="S127" s="24">
        <f t="shared" si="47"/>
        <v>49.700000000128057</v>
      </c>
    </row>
    <row r="128" spans="1:19" x14ac:dyDescent="0.3">
      <c r="A128" t="s">
        <v>287</v>
      </c>
      <c r="B128" s="23">
        <v>46109.170138888891</v>
      </c>
      <c r="C128" s="23">
        <v>46109.377083333333</v>
      </c>
      <c r="D128" s="23">
        <v>46110.115277777782</v>
      </c>
      <c r="E128" s="23">
        <v>46110.343055555553</v>
      </c>
      <c r="F128" s="23">
        <v>46110.576388888891</v>
      </c>
      <c r="G128" s="23">
        <v>46110.663194444453</v>
      </c>
      <c r="H128" s="24">
        <f t="shared" si="36"/>
        <v>4.96666666661622</v>
      </c>
      <c r="I128" s="24">
        <f t="shared" si="37"/>
        <v>17.716666666790843</v>
      </c>
      <c r="J128" s="24">
        <f t="shared" si="38"/>
        <v>5.4666666664998047</v>
      </c>
      <c r="K128" s="24">
        <f t="shared" si="39"/>
        <v>5.6000000000931323</v>
      </c>
      <c r="L128" s="24">
        <f t="shared" si="40"/>
        <v>2.0833333334885538</v>
      </c>
      <c r="M128" t="str">
        <f t="shared" si="41"/>
        <v>OK</v>
      </c>
      <c r="N128" s="24">
        <f t="shared" si="42"/>
        <v>4.96666666661622</v>
      </c>
      <c r="O128" s="24">
        <f t="shared" si="43"/>
        <v>17.716666666790843</v>
      </c>
      <c r="P128" s="24">
        <f t="shared" si="44"/>
        <v>5.4666666664998047</v>
      </c>
      <c r="Q128" s="24">
        <f t="shared" si="45"/>
        <v>5.6000000000931323</v>
      </c>
      <c r="R128" s="24">
        <f t="shared" si="46"/>
        <v>2.0833333334885538</v>
      </c>
      <c r="S128" s="24">
        <f t="shared" si="47"/>
        <v>35.833333333488554</v>
      </c>
    </row>
    <row r="129" spans="1:19" x14ac:dyDescent="0.3">
      <c r="A129" t="s">
        <v>288</v>
      </c>
      <c r="B129" s="23">
        <v>46109.276388888888</v>
      </c>
      <c r="C129" s="23">
        <v>46109.4375</v>
      </c>
      <c r="D129" s="23">
        <v>46110.320833333331</v>
      </c>
      <c r="E129" s="23">
        <v>46111.097916666673</v>
      </c>
      <c r="F129" s="23">
        <v>46111.677083333343</v>
      </c>
      <c r="G129" s="23">
        <v>46111.85</v>
      </c>
      <c r="H129" s="24">
        <f t="shared" si="36"/>
        <v>3.8666666666977108</v>
      </c>
      <c r="I129" s="24">
        <f t="shared" si="37"/>
        <v>21.199999999953434</v>
      </c>
      <c r="J129" s="24">
        <f t="shared" si="38"/>
        <v>18.650000000197906</v>
      </c>
      <c r="K129" s="24">
        <f t="shared" si="39"/>
        <v>13.900000000081491</v>
      </c>
      <c r="L129" s="24">
        <f t="shared" si="40"/>
        <v>4.1499999997322448</v>
      </c>
      <c r="M129" t="str">
        <f t="shared" si="41"/>
        <v>OK</v>
      </c>
      <c r="N129" s="24">
        <f t="shared" si="42"/>
        <v>3.8666666666977108</v>
      </c>
      <c r="O129" s="24">
        <f t="shared" si="43"/>
        <v>21.199999999953434</v>
      </c>
      <c r="P129" s="24">
        <f t="shared" si="44"/>
        <v>18.650000000197906</v>
      </c>
      <c r="Q129" s="24">
        <f t="shared" si="45"/>
        <v>13.900000000081491</v>
      </c>
      <c r="R129" s="24">
        <f t="shared" si="46"/>
        <v>4.1499999997322448</v>
      </c>
      <c r="S129" s="24">
        <f t="shared" si="47"/>
        <v>61.766666666662786</v>
      </c>
    </row>
    <row r="130" spans="1:19" x14ac:dyDescent="0.3">
      <c r="A130" t="s">
        <v>289</v>
      </c>
      <c r="B130" s="23">
        <v>46109.494444444441</v>
      </c>
      <c r="C130" s="23">
        <v>46109.874305555553</v>
      </c>
      <c r="D130" s="23">
        <v>46110.490972222222</v>
      </c>
      <c r="E130" s="23">
        <v>46113.07708333333</v>
      </c>
      <c r="F130" s="23">
        <v>46113.592361111107</v>
      </c>
      <c r="G130" s="23">
        <v>46113.757638888892</v>
      </c>
      <c r="H130" s="24">
        <f t="shared" si="36"/>
        <v>9.1166666666977108</v>
      </c>
      <c r="I130" s="24">
        <f t="shared" si="37"/>
        <v>14.800000000046566</v>
      </c>
      <c r="J130" s="24">
        <f t="shared" si="38"/>
        <v>62.066666666592937</v>
      </c>
      <c r="K130" s="24">
        <f t="shared" si="39"/>
        <v>12.366666666639503</v>
      </c>
      <c r="L130" s="24">
        <f t="shared" si="40"/>
        <v>3.9666666668490507</v>
      </c>
      <c r="M130" t="str">
        <f t="shared" si="41"/>
        <v>OK</v>
      </c>
      <c r="N130" s="24">
        <f t="shared" si="42"/>
        <v>9.1166666666977108</v>
      </c>
      <c r="O130" s="24">
        <f t="shared" si="43"/>
        <v>14.800000000046566</v>
      </c>
      <c r="P130" s="24">
        <f t="shared" si="44"/>
        <v>62.066666666592937</v>
      </c>
      <c r="Q130" s="24">
        <f t="shared" si="45"/>
        <v>12.366666666639503</v>
      </c>
      <c r="R130" s="24">
        <f t="shared" si="46"/>
        <v>3.9666666668490507</v>
      </c>
      <c r="S130" s="24">
        <f t="shared" si="47"/>
        <v>102.31666666682577</v>
      </c>
    </row>
    <row r="131" spans="1:19" x14ac:dyDescent="0.3">
      <c r="A131" t="s">
        <v>290</v>
      </c>
      <c r="B131" s="23">
        <v>46109.664583333331</v>
      </c>
      <c r="C131" s="23">
        <v>46109.790972222218</v>
      </c>
      <c r="D131" s="23">
        <v>46110.417361111111</v>
      </c>
      <c r="E131" s="23">
        <v>46111.286111111112</v>
      </c>
      <c r="F131" s="23">
        <v>46111.691666666673</v>
      </c>
      <c r="G131" s="23">
        <v>46111.759722222218</v>
      </c>
      <c r="H131" s="24">
        <f t="shared" si="36"/>
        <v>3.0333333332673647</v>
      </c>
      <c r="I131" s="24">
        <f t="shared" si="37"/>
        <v>15.033333333441988</v>
      </c>
      <c r="J131" s="24">
        <f t="shared" si="38"/>
        <v>20.850000000034925</v>
      </c>
      <c r="K131" s="24">
        <f t="shared" si="39"/>
        <v>9.7333333334536292</v>
      </c>
      <c r="L131" s="24">
        <f t="shared" si="40"/>
        <v>1.6333333330694586</v>
      </c>
      <c r="M131" t="str">
        <f t="shared" si="41"/>
        <v>OK</v>
      </c>
      <c r="N131" s="24">
        <f t="shared" si="42"/>
        <v>3.0333333332673647</v>
      </c>
      <c r="O131" s="24">
        <f t="shared" si="43"/>
        <v>15.033333333441988</v>
      </c>
      <c r="P131" s="24">
        <f t="shared" si="44"/>
        <v>20.850000000034925</v>
      </c>
      <c r="Q131" s="24">
        <f t="shared" si="45"/>
        <v>9.7333333334536292</v>
      </c>
      <c r="R131" s="24">
        <f t="shared" si="46"/>
        <v>1.6333333330694586</v>
      </c>
      <c r="S131" s="24">
        <f t="shared" si="47"/>
        <v>50.283333333267365</v>
      </c>
    </row>
    <row r="132" spans="1:19" x14ac:dyDescent="0.3">
      <c r="A132" t="s">
        <v>291</v>
      </c>
      <c r="B132" s="23">
        <v>46109.754166666673</v>
      </c>
      <c r="C132" s="23">
        <v>46110.030555555553</v>
      </c>
      <c r="D132" s="23">
        <v>46111.102083333331</v>
      </c>
      <c r="E132" s="23">
        <v>46111.725694444453</v>
      </c>
      <c r="F132" s="23">
        <v>46111.932638888888</v>
      </c>
      <c r="G132" s="23">
        <v>46112.005555555559</v>
      </c>
      <c r="H132" s="24">
        <f t="shared" si="36"/>
        <v>6.6333333331276663</v>
      </c>
      <c r="I132" s="24">
        <f t="shared" si="37"/>
        <v>25.716666666674428</v>
      </c>
      <c r="J132" s="24">
        <f t="shared" si="38"/>
        <v>14.966666666907258</v>
      </c>
      <c r="K132" s="24">
        <f t="shared" si="39"/>
        <v>4.966666666441597</v>
      </c>
      <c r="L132" s="24">
        <f t="shared" si="40"/>
        <v>1.7500000001164153</v>
      </c>
      <c r="M132" t="str">
        <f t="shared" si="41"/>
        <v>OK</v>
      </c>
      <c r="N132" s="24">
        <f t="shared" si="42"/>
        <v>6.6333333331276663</v>
      </c>
      <c r="O132" s="24">
        <f t="shared" si="43"/>
        <v>25.716666666674428</v>
      </c>
      <c r="P132" s="24">
        <f t="shared" si="44"/>
        <v>14.966666666907258</v>
      </c>
      <c r="Q132" s="24">
        <f t="shared" si="45"/>
        <v>4.966666666441597</v>
      </c>
      <c r="R132" s="24">
        <f t="shared" si="46"/>
        <v>1.7500000001164153</v>
      </c>
      <c r="S132" s="24">
        <f t="shared" si="47"/>
        <v>54.033333333267365</v>
      </c>
    </row>
    <row r="133" spans="1:19" x14ac:dyDescent="0.3">
      <c r="A133" t="s">
        <v>292</v>
      </c>
      <c r="B133" s="23">
        <v>46109.9</v>
      </c>
      <c r="C133" s="23">
        <v>46110.10833333333</v>
      </c>
      <c r="D133" s="23">
        <v>46110.885416666657</v>
      </c>
      <c r="E133" s="23">
        <v>46111.086111111108</v>
      </c>
      <c r="F133" s="23">
        <v>46111.267361111109</v>
      </c>
      <c r="G133" s="23">
        <v>46111.40625</v>
      </c>
      <c r="H133" s="24">
        <f t="shared" si="36"/>
        <v>4.9999999998835847</v>
      </c>
      <c r="I133" s="24">
        <f t="shared" si="37"/>
        <v>18.64999999984866</v>
      </c>
      <c r="J133" s="24">
        <f t="shared" si="38"/>
        <v>4.8166666668257676</v>
      </c>
      <c r="K133" s="24">
        <f t="shared" si="39"/>
        <v>4.3500000000349246</v>
      </c>
      <c r="L133" s="24">
        <f t="shared" si="40"/>
        <v>3.3333333333721384</v>
      </c>
      <c r="M133" t="str">
        <f t="shared" si="41"/>
        <v>OK</v>
      </c>
      <c r="N133" s="24">
        <f t="shared" si="42"/>
        <v>4.9999999998835847</v>
      </c>
      <c r="O133" s="24">
        <f t="shared" si="43"/>
        <v>18.64999999984866</v>
      </c>
      <c r="P133" s="24">
        <f t="shared" si="44"/>
        <v>4.8166666668257676</v>
      </c>
      <c r="Q133" s="24">
        <f t="shared" si="45"/>
        <v>4.3500000000349246</v>
      </c>
      <c r="R133" s="24">
        <f t="shared" si="46"/>
        <v>3.3333333333721384</v>
      </c>
      <c r="S133" s="24">
        <f t="shared" si="47"/>
        <v>36.149999999965075</v>
      </c>
    </row>
    <row r="134" spans="1:19" x14ac:dyDescent="0.3">
      <c r="A134" t="s">
        <v>293</v>
      </c>
      <c r="B134" s="23">
        <v>46110.088194444441</v>
      </c>
      <c r="C134" s="23">
        <v>46110.326388888891</v>
      </c>
      <c r="D134" s="23">
        <v>46111.058333333327</v>
      </c>
      <c r="E134" s="23">
        <v>46111.625</v>
      </c>
      <c r="F134" s="23">
        <v>46112.003472222219</v>
      </c>
      <c r="G134" s="23">
        <v>46112.149305555547</v>
      </c>
      <c r="H134" s="24">
        <f t="shared" ref="H134:H165" si="48">IF(OR(B134="",C134=""),"",(C134-B134)*24)</f>
        <v>5.716666666790843</v>
      </c>
      <c r="I134" s="24">
        <f t="shared" ref="I134:I165" si="49">IF(OR(C134="",D134=""),"",(D134-C134)*24)</f>
        <v>17.566666666476522</v>
      </c>
      <c r="J134" s="24">
        <f t="shared" ref="J134:J165" si="50">IF(OR(D134="",E134=""),"",(E134-D134)*24)</f>
        <v>13.60000000015134</v>
      </c>
      <c r="K134" s="24">
        <f t="shared" ref="K134:K165" si="51">IF(OR(E134="",F134=""),"",(F134-E134)*24)</f>
        <v>9.0833333332557231</v>
      </c>
      <c r="L134" s="24">
        <f t="shared" ref="L134:L165" si="52">IF(OR(F134="",G134=""),"",(G134-F134)*24)</f>
        <v>3.4999999998835847</v>
      </c>
      <c r="M134" t="str">
        <f t="shared" ref="M134:M165" si="53">IF(COUNT(B134:G134)&lt;6,"Missing timestamp",IF(MIN(H134:L134)&lt;0,"Negative duration","OK"))</f>
        <v>OK</v>
      </c>
      <c r="N134" s="24">
        <f t="shared" ref="N134:N165" si="54">IF($M134="OK",H134,"")</f>
        <v>5.716666666790843</v>
      </c>
      <c r="O134" s="24">
        <f t="shared" ref="O134:O165" si="55">IF($M134="OK",I134,"")</f>
        <v>17.566666666476522</v>
      </c>
      <c r="P134" s="24">
        <f t="shared" ref="P134:P165" si="56">IF($M134="OK",J134,"")</f>
        <v>13.60000000015134</v>
      </c>
      <c r="Q134" s="24">
        <f t="shared" ref="Q134:Q165" si="57">IF($M134="OK",K134,"")</f>
        <v>9.0833333332557231</v>
      </c>
      <c r="R134" s="24">
        <f t="shared" ref="R134:R165" si="58">IF($M134="OK",L134,"")</f>
        <v>3.4999999998835847</v>
      </c>
      <c r="S134" s="24">
        <f t="shared" ref="S134:S165" si="59">IF(M134="OK",SUM(N134:R134),"")</f>
        <v>49.466666666558012</v>
      </c>
    </row>
    <row r="135" spans="1:19" x14ac:dyDescent="0.3">
      <c r="A135" t="s">
        <v>294</v>
      </c>
      <c r="B135" s="23">
        <v>46110.103472222218</v>
      </c>
      <c r="C135" s="23">
        <v>46110.397222222222</v>
      </c>
      <c r="D135" s="23">
        <v>46111.191666666673</v>
      </c>
      <c r="E135" s="23">
        <v>46111.439583333333</v>
      </c>
      <c r="F135" s="23">
        <v>46111.744444444441</v>
      </c>
      <c r="G135" s="23">
        <v>46111.87777777778</v>
      </c>
      <c r="H135" s="24">
        <f t="shared" si="48"/>
        <v>7.0500000001047738</v>
      </c>
      <c r="I135" s="24">
        <f t="shared" si="49"/>
        <v>19.066666666825768</v>
      </c>
      <c r="J135" s="24">
        <f t="shared" si="50"/>
        <v>5.9499999998370185</v>
      </c>
      <c r="K135" s="24">
        <f t="shared" si="51"/>
        <v>7.316666666592937</v>
      </c>
      <c r="L135" s="24">
        <f t="shared" si="52"/>
        <v>3.2000000001280569</v>
      </c>
      <c r="M135" t="str">
        <f t="shared" si="53"/>
        <v>OK</v>
      </c>
      <c r="N135" s="24">
        <f t="shared" si="54"/>
        <v>7.0500000001047738</v>
      </c>
      <c r="O135" s="24">
        <f t="shared" si="55"/>
        <v>19.066666666825768</v>
      </c>
      <c r="P135" s="24">
        <f t="shared" si="56"/>
        <v>5.9499999998370185</v>
      </c>
      <c r="Q135" s="24">
        <f t="shared" si="57"/>
        <v>7.316666666592937</v>
      </c>
      <c r="R135" s="24">
        <f t="shared" si="58"/>
        <v>3.2000000001280569</v>
      </c>
      <c r="S135" s="24">
        <f t="shared" si="59"/>
        <v>42.583333333488554</v>
      </c>
    </row>
    <row r="136" spans="1:19" x14ac:dyDescent="0.3">
      <c r="A136" t="s">
        <v>295</v>
      </c>
      <c r="B136" s="23">
        <v>46110.451388888891</v>
      </c>
      <c r="C136" s="23">
        <v>46110.614583333343</v>
      </c>
      <c r="D136" s="23">
        <v>46111.724305555559</v>
      </c>
      <c r="E136" s="23">
        <v>46112.188888888893</v>
      </c>
      <c r="F136" s="23">
        <v>46112.385416666657</v>
      </c>
      <c r="G136" s="23">
        <v>46112.522916666669</v>
      </c>
      <c r="H136" s="24">
        <f t="shared" si="48"/>
        <v>3.9166666668606922</v>
      </c>
      <c r="I136" s="24">
        <f t="shared" si="49"/>
        <v>26.633333333185874</v>
      </c>
      <c r="J136" s="24">
        <f t="shared" si="50"/>
        <v>11.150000000023283</v>
      </c>
      <c r="K136" s="24">
        <f t="shared" si="51"/>
        <v>4.7166666663251817</v>
      </c>
      <c r="L136" s="24">
        <f t="shared" si="52"/>
        <v>3.3000000002793968</v>
      </c>
      <c r="M136" t="str">
        <f t="shared" si="53"/>
        <v>OK</v>
      </c>
      <c r="N136" s="24">
        <f t="shared" si="54"/>
        <v>3.9166666668606922</v>
      </c>
      <c r="O136" s="24">
        <f t="shared" si="55"/>
        <v>26.633333333185874</v>
      </c>
      <c r="P136" s="24">
        <f t="shared" si="56"/>
        <v>11.150000000023283</v>
      </c>
      <c r="Q136" s="24">
        <f t="shared" si="57"/>
        <v>4.7166666663251817</v>
      </c>
      <c r="R136" s="24">
        <f t="shared" si="58"/>
        <v>3.3000000002793968</v>
      </c>
      <c r="S136" s="24">
        <f t="shared" si="59"/>
        <v>49.716666666674428</v>
      </c>
    </row>
    <row r="137" spans="1:19" x14ac:dyDescent="0.3">
      <c r="A137" t="s">
        <v>296</v>
      </c>
      <c r="B137" s="23">
        <v>46110.614583333343</v>
      </c>
      <c r="C137" s="23">
        <v>46110.8</v>
      </c>
      <c r="D137" s="23">
        <v>46111.443055555559</v>
      </c>
      <c r="E137" s="23">
        <v>46111.786111111112</v>
      </c>
      <c r="F137" s="23">
        <v>46112.648611111108</v>
      </c>
      <c r="G137" s="23">
        <v>46112.779166666667</v>
      </c>
      <c r="H137" s="24">
        <f t="shared" si="48"/>
        <v>4.4499999998370185</v>
      </c>
      <c r="I137" s="24">
        <f t="shared" si="49"/>
        <v>15.433333333348855</v>
      </c>
      <c r="J137" s="24">
        <f t="shared" si="50"/>
        <v>8.2333333332790062</v>
      </c>
      <c r="K137" s="24">
        <f t="shared" si="51"/>
        <v>20.699999999895226</v>
      </c>
      <c r="L137" s="24">
        <f t="shared" si="52"/>
        <v>3.1333333334187046</v>
      </c>
      <c r="M137" t="str">
        <f t="shared" si="53"/>
        <v>OK</v>
      </c>
      <c r="N137" s="24">
        <f t="shared" si="54"/>
        <v>4.4499999998370185</v>
      </c>
      <c r="O137" s="24">
        <f t="shared" si="55"/>
        <v>15.433333333348855</v>
      </c>
      <c r="P137" s="24">
        <f t="shared" si="56"/>
        <v>8.2333333332790062</v>
      </c>
      <c r="Q137" s="24">
        <f t="shared" si="57"/>
        <v>20.699999999895226</v>
      </c>
      <c r="R137" s="24">
        <f t="shared" si="58"/>
        <v>3.1333333334187046</v>
      </c>
      <c r="S137" s="24">
        <f t="shared" si="59"/>
        <v>51.949999999778811</v>
      </c>
    </row>
    <row r="138" spans="1:19" x14ac:dyDescent="0.3">
      <c r="A138" t="s">
        <v>297</v>
      </c>
      <c r="B138" s="23">
        <v>46110.684027777781</v>
      </c>
      <c r="C138" s="23">
        <v>46110.897916666669</v>
      </c>
      <c r="D138" s="23">
        <v>46111.500694444447</v>
      </c>
      <c r="E138" s="23">
        <v>46111.845833333333</v>
      </c>
      <c r="F138" s="23">
        <v>46112.025694444441</v>
      </c>
      <c r="G138" s="23">
        <v>46112.15347222222</v>
      </c>
      <c r="H138" s="24">
        <f t="shared" si="48"/>
        <v>5.1333333333022892</v>
      </c>
      <c r="I138" s="24">
        <f t="shared" si="49"/>
        <v>14.466666666674428</v>
      </c>
      <c r="J138" s="24">
        <f t="shared" si="50"/>
        <v>8.2833333332673647</v>
      </c>
      <c r="K138" s="24">
        <f t="shared" si="51"/>
        <v>4.316666666592937</v>
      </c>
      <c r="L138" s="24">
        <f t="shared" si="52"/>
        <v>3.0666666667093523</v>
      </c>
      <c r="M138" t="str">
        <f t="shared" si="53"/>
        <v>OK</v>
      </c>
      <c r="N138" s="24">
        <f t="shared" si="54"/>
        <v>5.1333333333022892</v>
      </c>
      <c r="O138" s="24">
        <f t="shared" si="55"/>
        <v>14.466666666674428</v>
      </c>
      <c r="P138" s="24">
        <f t="shared" si="56"/>
        <v>8.2833333332673647</v>
      </c>
      <c r="Q138" s="24">
        <f t="shared" si="57"/>
        <v>4.316666666592937</v>
      </c>
      <c r="R138" s="24">
        <f t="shared" si="58"/>
        <v>3.0666666667093523</v>
      </c>
      <c r="S138" s="24">
        <f t="shared" si="59"/>
        <v>35.266666666546371</v>
      </c>
    </row>
    <row r="139" spans="1:19" x14ac:dyDescent="0.3">
      <c r="A139" t="s">
        <v>298</v>
      </c>
      <c r="B139" s="23">
        <v>46110.742361111108</v>
      </c>
      <c r="C139" s="23">
        <v>46111.03402777778</v>
      </c>
      <c r="D139" s="23">
        <v>46112.302777777782</v>
      </c>
      <c r="E139" s="23">
        <v>46113.695138888892</v>
      </c>
      <c r="F139" s="23">
        <v>46113.927083333343</v>
      </c>
      <c r="G139" s="23">
        <v>46114.138888888891</v>
      </c>
      <c r="H139" s="24">
        <f t="shared" si="48"/>
        <v>7.0000000001164153</v>
      </c>
      <c r="I139" s="24">
        <f t="shared" si="49"/>
        <v>30.450000000069849</v>
      </c>
      <c r="J139" s="24">
        <f t="shared" si="50"/>
        <v>33.416666666627862</v>
      </c>
      <c r="K139" s="24">
        <f t="shared" si="51"/>
        <v>5.5666666668257676</v>
      </c>
      <c r="L139" s="24">
        <f t="shared" si="52"/>
        <v>5.0833333331393078</v>
      </c>
      <c r="M139" t="str">
        <f t="shared" si="53"/>
        <v>OK</v>
      </c>
      <c r="N139" s="24">
        <f t="shared" si="54"/>
        <v>7.0000000001164153</v>
      </c>
      <c r="O139" s="24">
        <f t="shared" si="55"/>
        <v>30.450000000069849</v>
      </c>
      <c r="P139" s="24">
        <f t="shared" si="56"/>
        <v>33.416666666627862</v>
      </c>
      <c r="Q139" s="24">
        <f t="shared" si="57"/>
        <v>5.5666666668257676</v>
      </c>
      <c r="R139" s="24">
        <f t="shared" si="58"/>
        <v>5.0833333331393078</v>
      </c>
      <c r="S139" s="24">
        <f t="shared" si="59"/>
        <v>81.516666666779201</v>
      </c>
    </row>
    <row r="140" spans="1:19" x14ac:dyDescent="0.3">
      <c r="A140" t="s">
        <v>299</v>
      </c>
      <c r="B140" s="23">
        <v>46110.78125</v>
      </c>
      <c r="C140" s="23">
        <v>46110.913194444453</v>
      </c>
      <c r="D140" s="23">
        <v>46111.495138888888</v>
      </c>
      <c r="E140" s="23">
        <v>46111.807638888888</v>
      </c>
      <c r="F140" s="23">
        <v>46112.161111111112</v>
      </c>
      <c r="G140" s="23">
        <v>46112.268055555563</v>
      </c>
      <c r="H140" s="24">
        <f t="shared" si="48"/>
        <v>3.1666666668606922</v>
      </c>
      <c r="I140" s="24">
        <f t="shared" si="49"/>
        <v>13.966666666441597</v>
      </c>
      <c r="J140" s="24">
        <f t="shared" si="50"/>
        <v>7.5</v>
      </c>
      <c r="K140" s="24">
        <f t="shared" si="51"/>
        <v>8.4833333333954215</v>
      </c>
      <c r="L140" s="24">
        <f t="shared" si="52"/>
        <v>2.5666666668257676</v>
      </c>
      <c r="M140" t="str">
        <f t="shared" si="53"/>
        <v>OK</v>
      </c>
      <c r="N140" s="24">
        <f t="shared" si="54"/>
        <v>3.1666666668606922</v>
      </c>
      <c r="O140" s="24">
        <f t="shared" si="55"/>
        <v>13.966666666441597</v>
      </c>
      <c r="P140" s="24">
        <f t="shared" si="56"/>
        <v>7.5</v>
      </c>
      <c r="Q140" s="24">
        <f t="shared" si="57"/>
        <v>8.4833333333954215</v>
      </c>
      <c r="R140" s="24">
        <f t="shared" si="58"/>
        <v>2.5666666668257676</v>
      </c>
      <c r="S140" s="24">
        <f t="shared" si="59"/>
        <v>35.683333333523478</v>
      </c>
    </row>
    <row r="141" spans="1:19" x14ac:dyDescent="0.3">
      <c r="A141" t="s">
        <v>300</v>
      </c>
      <c r="B141" s="23">
        <v>46110.844444444447</v>
      </c>
      <c r="C141" s="23">
        <v>46111.021527777782</v>
      </c>
      <c r="D141" s="23">
        <v>46111.563888888893</v>
      </c>
      <c r="E141" s="23">
        <v>46112.529861111107</v>
      </c>
      <c r="F141" s="23">
        <v>46112.911111111112</v>
      </c>
      <c r="G141" s="23">
        <v>46113.006249999999</v>
      </c>
      <c r="H141" s="24">
        <f t="shared" si="48"/>
        <v>4.2500000000582077</v>
      </c>
      <c r="I141" s="24">
        <f t="shared" si="49"/>
        <v>13.016666666662786</v>
      </c>
      <c r="J141" s="24">
        <f t="shared" si="50"/>
        <v>23.183333333116025</v>
      </c>
      <c r="K141" s="24">
        <f t="shared" si="51"/>
        <v>9.1500000001396984</v>
      </c>
      <c r="L141" s="24">
        <f t="shared" si="52"/>
        <v>2.2833333332673647</v>
      </c>
      <c r="M141" t="str">
        <f t="shared" si="53"/>
        <v>OK</v>
      </c>
      <c r="N141" s="24">
        <f t="shared" si="54"/>
        <v>4.2500000000582077</v>
      </c>
      <c r="O141" s="24">
        <f t="shared" si="55"/>
        <v>13.016666666662786</v>
      </c>
      <c r="P141" s="24">
        <f t="shared" si="56"/>
        <v>23.183333333116025</v>
      </c>
      <c r="Q141" s="24">
        <f t="shared" si="57"/>
        <v>9.1500000001396984</v>
      </c>
      <c r="R141" s="24">
        <f t="shared" si="58"/>
        <v>2.2833333332673647</v>
      </c>
      <c r="S141" s="24">
        <f t="shared" si="59"/>
        <v>51.883333333244082</v>
      </c>
    </row>
    <row r="142" spans="1:19" x14ac:dyDescent="0.3">
      <c r="A142" t="s">
        <v>301</v>
      </c>
      <c r="B142" s="23">
        <v>46110.861805555563</v>
      </c>
      <c r="C142" s="23">
        <v>46111.211111111108</v>
      </c>
      <c r="D142" s="23">
        <v>46111.868055555547</v>
      </c>
      <c r="E142" s="23">
        <v>46112.45208333333</v>
      </c>
      <c r="F142" s="23">
        <v>46112.677777777782</v>
      </c>
      <c r="G142" s="23">
        <v>46112.815972222219</v>
      </c>
      <c r="H142" s="24">
        <f t="shared" si="48"/>
        <v>8.3833333330694586</v>
      </c>
      <c r="I142" s="24">
        <f t="shared" si="49"/>
        <v>15.766666666546371</v>
      </c>
      <c r="J142" s="24">
        <f t="shared" si="50"/>
        <v>14.016666666779201</v>
      </c>
      <c r="K142" s="24">
        <f t="shared" si="51"/>
        <v>5.4166666668606922</v>
      </c>
      <c r="L142" s="24">
        <f t="shared" si="52"/>
        <v>3.3166666664765216</v>
      </c>
      <c r="M142" t="str">
        <f t="shared" si="53"/>
        <v>OK</v>
      </c>
      <c r="N142" s="24">
        <f t="shared" si="54"/>
        <v>8.3833333330694586</v>
      </c>
      <c r="O142" s="24">
        <f t="shared" si="55"/>
        <v>15.766666666546371</v>
      </c>
      <c r="P142" s="24">
        <f t="shared" si="56"/>
        <v>14.016666666779201</v>
      </c>
      <c r="Q142" s="24">
        <f t="shared" si="57"/>
        <v>5.4166666668606922</v>
      </c>
      <c r="R142" s="24">
        <f t="shared" si="58"/>
        <v>3.3166666664765216</v>
      </c>
      <c r="S142" s="24">
        <f t="shared" si="59"/>
        <v>46.899999999732245</v>
      </c>
    </row>
    <row r="143" spans="1:19" x14ac:dyDescent="0.3">
      <c r="A143" t="s">
        <v>302</v>
      </c>
      <c r="B143" s="23">
        <v>46110.905555555553</v>
      </c>
      <c r="C143" s="23">
        <v>46111.267361111109</v>
      </c>
      <c r="D143" s="23">
        <v>46111.925000000003</v>
      </c>
      <c r="E143" s="23">
        <v>46112.845833333333</v>
      </c>
      <c r="F143" s="23">
        <v>46113.125</v>
      </c>
      <c r="G143" s="23">
        <v>46113.253472222219</v>
      </c>
      <c r="H143" s="24">
        <f t="shared" si="48"/>
        <v>8.6833333333488554</v>
      </c>
      <c r="I143" s="24">
        <f t="shared" si="49"/>
        <v>15.783333333441988</v>
      </c>
      <c r="J143" s="24">
        <f t="shared" si="50"/>
        <v>22.099999999918509</v>
      </c>
      <c r="K143" s="24">
        <f t="shared" si="51"/>
        <v>6.7000000000116415</v>
      </c>
      <c r="L143" s="24">
        <f t="shared" si="52"/>
        <v>3.0833333332557231</v>
      </c>
      <c r="M143" t="str">
        <f t="shared" si="53"/>
        <v>OK</v>
      </c>
      <c r="N143" s="24">
        <f t="shared" si="54"/>
        <v>8.6833333333488554</v>
      </c>
      <c r="O143" s="24">
        <f t="shared" si="55"/>
        <v>15.783333333441988</v>
      </c>
      <c r="P143" s="24">
        <f t="shared" si="56"/>
        <v>22.099999999918509</v>
      </c>
      <c r="Q143" s="24">
        <f t="shared" si="57"/>
        <v>6.7000000000116415</v>
      </c>
      <c r="R143" s="24">
        <f t="shared" si="58"/>
        <v>3.0833333332557231</v>
      </c>
      <c r="S143" s="24">
        <f t="shared" si="59"/>
        <v>56.349999999976717</v>
      </c>
    </row>
    <row r="144" spans="1:19" x14ac:dyDescent="0.3">
      <c r="A144" t="s">
        <v>303</v>
      </c>
      <c r="B144" s="23">
        <v>46111.429166666669</v>
      </c>
      <c r="C144" s="23">
        <v>46111.737500000003</v>
      </c>
      <c r="D144" s="23">
        <v>46112.75277777778</v>
      </c>
      <c r="E144" s="23">
        <v>46113.304861111108</v>
      </c>
      <c r="F144" s="23">
        <v>46113.600694444453</v>
      </c>
      <c r="G144" s="23">
        <v>46113.724305555559</v>
      </c>
      <c r="H144" s="24">
        <f t="shared" si="48"/>
        <v>7.4000000000232831</v>
      </c>
      <c r="I144" s="24">
        <f t="shared" si="49"/>
        <v>24.366666666639503</v>
      </c>
      <c r="J144" s="24">
        <f t="shared" si="50"/>
        <v>13.249999999883585</v>
      </c>
      <c r="K144" s="24">
        <f t="shared" si="51"/>
        <v>7.1000000002677552</v>
      </c>
      <c r="L144" s="24">
        <f t="shared" si="52"/>
        <v>2.9666666665580124</v>
      </c>
      <c r="M144" t="str">
        <f t="shared" si="53"/>
        <v>OK</v>
      </c>
      <c r="N144" s="24">
        <f t="shared" si="54"/>
        <v>7.4000000000232831</v>
      </c>
      <c r="O144" s="24">
        <f t="shared" si="55"/>
        <v>24.366666666639503</v>
      </c>
      <c r="P144" s="24">
        <f t="shared" si="56"/>
        <v>13.249999999883585</v>
      </c>
      <c r="Q144" s="24">
        <f t="shared" si="57"/>
        <v>7.1000000002677552</v>
      </c>
      <c r="R144" s="24">
        <f t="shared" si="58"/>
        <v>2.9666666665580124</v>
      </c>
      <c r="S144" s="24">
        <f t="shared" si="59"/>
        <v>55.083333333372138</v>
      </c>
    </row>
    <row r="145" spans="1:19" x14ac:dyDescent="0.3">
      <c r="A145" t="s">
        <v>304</v>
      </c>
      <c r="B145" s="23">
        <v>46111.668749999997</v>
      </c>
      <c r="C145" s="23">
        <v>46111.960416666669</v>
      </c>
      <c r="D145" s="23">
        <v>46112.724305555559</v>
      </c>
      <c r="E145" s="23">
        <v>46114.367361111108</v>
      </c>
      <c r="F145" s="23">
        <v>46114.885416666657</v>
      </c>
      <c r="G145" s="23">
        <v>46114.993055555547</v>
      </c>
      <c r="H145" s="24">
        <f t="shared" si="48"/>
        <v>7.0000000001164153</v>
      </c>
      <c r="I145" s="24">
        <f t="shared" si="49"/>
        <v>18.333333333372138</v>
      </c>
      <c r="J145" s="24">
        <f t="shared" si="50"/>
        <v>39.433333333174232</v>
      </c>
      <c r="K145" s="24">
        <f t="shared" si="51"/>
        <v>12.433333333174232</v>
      </c>
      <c r="L145" s="24">
        <f t="shared" si="52"/>
        <v>2.5833333333721384</v>
      </c>
      <c r="M145" t="str">
        <f t="shared" si="53"/>
        <v>OK</v>
      </c>
      <c r="N145" s="24">
        <f t="shared" si="54"/>
        <v>7.0000000001164153</v>
      </c>
      <c r="O145" s="24">
        <f t="shared" si="55"/>
        <v>18.333333333372138</v>
      </c>
      <c r="P145" s="24">
        <f t="shared" si="56"/>
        <v>39.433333333174232</v>
      </c>
      <c r="Q145" s="24">
        <f t="shared" si="57"/>
        <v>12.433333333174232</v>
      </c>
      <c r="R145" s="24">
        <f t="shared" si="58"/>
        <v>2.5833333333721384</v>
      </c>
      <c r="S145" s="24">
        <f t="shared" si="59"/>
        <v>79.783333333209157</v>
      </c>
    </row>
    <row r="146" spans="1:19" x14ac:dyDescent="0.3">
      <c r="A146" t="s">
        <v>305</v>
      </c>
      <c r="B146" s="23">
        <v>46112.690972222219</v>
      </c>
      <c r="C146" s="23">
        <v>46112.807638888888</v>
      </c>
      <c r="D146" s="23">
        <v>46113.288888888892</v>
      </c>
      <c r="E146" s="23">
        <v>46113.984722222223</v>
      </c>
      <c r="F146" s="23">
        <v>46114.245138888888</v>
      </c>
      <c r="G146" s="23">
        <v>46114.431250000001</v>
      </c>
      <c r="H146" s="24">
        <f t="shared" si="48"/>
        <v>2.8000000000465661</v>
      </c>
      <c r="I146" s="24">
        <f t="shared" si="49"/>
        <v>11.550000000104774</v>
      </c>
      <c r="J146" s="24">
        <f t="shared" si="50"/>
        <v>16.699999999953434</v>
      </c>
      <c r="K146" s="24">
        <f t="shared" si="51"/>
        <v>6.2499999999417923</v>
      </c>
      <c r="L146" s="24">
        <f t="shared" si="52"/>
        <v>4.4666666667326353</v>
      </c>
      <c r="M146" t="str">
        <f t="shared" si="53"/>
        <v>OK</v>
      </c>
      <c r="N146" s="24">
        <f t="shared" si="54"/>
        <v>2.8000000000465661</v>
      </c>
      <c r="O146" s="24">
        <f t="shared" si="55"/>
        <v>11.550000000104774</v>
      </c>
      <c r="P146" s="24">
        <f t="shared" si="56"/>
        <v>16.699999999953434</v>
      </c>
      <c r="Q146" s="24">
        <f t="shared" si="57"/>
        <v>6.2499999999417923</v>
      </c>
      <c r="R146" s="24">
        <f t="shared" si="58"/>
        <v>4.4666666667326353</v>
      </c>
      <c r="S146" s="24">
        <f t="shared" si="59"/>
        <v>41.766666666779201</v>
      </c>
    </row>
    <row r="147" spans="1:19" x14ac:dyDescent="0.3">
      <c r="A147" t="s">
        <v>306</v>
      </c>
      <c r="B147" s="23">
        <v>46112.738194444442</v>
      </c>
      <c r="C147" s="23">
        <v>46112.888194444437</v>
      </c>
      <c r="D147" s="23">
        <v>46114.207638888889</v>
      </c>
      <c r="E147" s="23">
        <v>46116.075694444437</v>
      </c>
      <c r="F147" s="23">
        <v>46116.672222222223</v>
      </c>
      <c r="G147" s="23">
        <v>46116.800694444442</v>
      </c>
      <c r="H147" s="24">
        <f t="shared" si="48"/>
        <v>3.5999999998603016</v>
      </c>
      <c r="I147" s="24">
        <f t="shared" si="49"/>
        <v>31.666666666860692</v>
      </c>
      <c r="J147" s="24">
        <f t="shared" si="50"/>
        <v>44.833333333139308</v>
      </c>
      <c r="K147" s="24">
        <f t="shared" si="51"/>
        <v>14.316666666883975</v>
      </c>
      <c r="L147" s="24">
        <f t="shared" si="52"/>
        <v>3.0833333332557231</v>
      </c>
      <c r="M147" t="str">
        <f t="shared" si="53"/>
        <v>OK</v>
      </c>
      <c r="N147" s="24">
        <f t="shared" si="54"/>
        <v>3.5999999998603016</v>
      </c>
      <c r="O147" s="24">
        <f t="shared" si="55"/>
        <v>31.666666666860692</v>
      </c>
      <c r="P147" s="24">
        <f t="shared" si="56"/>
        <v>44.833333333139308</v>
      </c>
      <c r="Q147" s="24">
        <f t="shared" si="57"/>
        <v>14.316666666883975</v>
      </c>
      <c r="R147" s="24">
        <f t="shared" si="58"/>
        <v>3.0833333332557231</v>
      </c>
      <c r="S147" s="24">
        <f t="shared" si="59"/>
        <v>97.5</v>
      </c>
    </row>
    <row r="148" spans="1:19" x14ac:dyDescent="0.3">
      <c r="A148" t="s">
        <v>307</v>
      </c>
      <c r="B148" s="23">
        <v>46112.852777777778</v>
      </c>
      <c r="C148" s="23">
        <v>46113.216666666667</v>
      </c>
      <c r="D148" s="23">
        <v>46113.791666666657</v>
      </c>
      <c r="E148" s="23">
        <v>46114.547222222223</v>
      </c>
      <c r="F148" s="23">
        <v>46114.787499999999</v>
      </c>
      <c r="G148" s="23">
        <v>46114.880555555559</v>
      </c>
      <c r="H148" s="24">
        <f t="shared" si="48"/>
        <v>8.7333333333372138</v>
      </c>
      <c r="I148" s="24">
        <f t="shared" si="49"/>
        <v>13.799999999755528</v>
      </c>
      <c r="J148" s="24">
        <f t="shared" si="50"/>
        <v>18.133333333593328</v>
      </c>
      <c r="K148" s="24">
        <f t="shared" si="51"/>
        <v>5.7666666666045785</v>
      </c>
      <c r="L148" s="24">
        <f t="shared" si="52"/>
        <v>2.2333333334536292</v>
      </c>
      <c r="M148" t="str">
        <f t="shared" si="53"/>
        <v>OK</v>
      </c>
      <c r="N148" s="24">
        <f t="shared" si="54"/>
        <v>8.7333333333372138</v>
      </c>
      <c r="O148" s="24">
        <f t="shared" si="55"/>
        <v>13.799999999755528</v>
      </c>
      <c r="P148" s="24">
        <f t="shared" si="56"/>
        <v>18.133333333593328</v>
      </c>
      <c r="Q148" s="24">
        <f t="shared" si="57"/>
        <v>5.7666666666045785</v>
      </c>
      <c r="R148" s="24">
        <f t="shared" si="58"/>
        <v>2.2333333334536292</v>
      </c>
      <c r="S148" s="24">
        <f t="shared" si="59"/>
        <v>48.666666666744277</v>
      </c>
    </row>
    <row r="149" spans="1:19" x14ac:dyDescent="0.3">
      <c r="A149" t="s">
        <v>308</v>
      </c>
      <c r="B149" s="23">
        <v>46112.893055555563</v>
      </c>
      <c r="C149" s="23">
        <v>46113.15902777778</v>
      </c>
      <c r="D149" s="23">
        <v>46114.572916666657</v>
      </c>
      <c r="E149" s="23">
        <v>46115.395138888889</v>
      </c>
      <c r="F149" s="23">
        <v>46115.693055555559</v>
      </c>
      <c r="G149" s="23">
        <v>46115.791666666657</v>
      </c>
      <c r="H149" s="24">
        <f t="shared" si="48"/>
        <v>6.3833333331858739</v>
      </c>
      <c r="I149" s="24">
        <f t="shared" si="49"/>
        <v>33.933333333057817</v>
      </c>
      <c r="J149" s="24">
        <f t="shared" si="50"/>
        <v>19.733333333570044</v>
      </c>
      <c r="K149" s="24">
        <f t="shared" si="51"/>
        <v>7.1500000000814907</v>
      </c>
      <c r="L149" s="24">
        <f t="shared" si="52"/>
        <v>2.3666666663484648</v>
      </c>
      <c r="M149" t="str">
        <f t="shared" si="53"/>
        <v>OK</v>
      </c>
      <c r="N149" s="24">
        <f t="shared" si="54"/>
        <v>6.3833333331858739</v>
      </c>
      <c r="O149" s="24">
        <f t="shared" si="55"/>
        <v>33.933333333057817</v>
      </c>
      <c r="P149" s="24">
        <f t="shared" si="56"/>
        <v>19.733333333570044</v>
      </c>
      <c r="Q149" s="24">
        <f t="shared" si="57"/>
        <v>7.1500000000814907</v>
      </c>
      <c r="R149" s="24">
        <f t="shared" si="58"/>
        <v>2.3666666663484648</v>
      </c>
      <c r="S149" s="24">
        <f t="shared" si="59"/>
        <v>69.566666666243691</v>
      </c>
    </row>
    <row r="150" spans="1:19" x14ac:dyDescent="0.3">
      <c r="A150" t="s">
        <v>309</v>
      </c>
      <c r="B150" s="23">
        <v>46112.90625</v>
      </c>
      <c r="C150" s="23">
        <v>46113.353472222218</v>
      </c>
      <c r="D150" s="23">
        <v>46114.102777777778</v>
      </c>
      <c r="E150" s="23">
        <v>46114.87777777778</v>
      </c>
      <c r="F150" s="23">
        <v>46115.068749999999</v>
      </c>
      <c r="G150" s="23">
        <v>46115.24722222222</v>
      </c>
      <c r="H150" s="24">
        <f t="shared" si="48"/>
        <v>10.733333333220799</v>
      </c>
      <c r="I150" s="24">
        <f t="shared" si="49"/>
        <v>17.983333333453629</v>
      </c>
      <c r="J150" s="24">
        <f t="shared" si="50"/>
        <v>18.600000000034925</v>
      </c>
      <c r="K150" s="24">
        <f t="shared" si="51"/>
        <v>4.5833333332557231</v>
      </c>
      <c r="L150" s="24">
        <f t="shared" si="52"/>
        <v>4.2833333333255723</v>
      </c>
      <c r="M150" t="str">
        <f t="shared" si="53"/>
        <v>OK</v>
      </c>
      <c r="N150" s="24">
        <f t="shared" si="54"/>
        <v>10.733333333220799</v>
      </c>
      <c r="O150" s="24">
        <f t="shared" si="55"/>
        <v>17.983333333453629</v>
      </c>
      <c r="P150" s="24">
        <f t="shared" si="56"/>
        <v>18.600000000034925</v>
      </c>
      <c r="Q150" s="24">
        <f t="shared" si="57"/>
        <v>4.5833333332557231</v>
      </c>
      <c r="R150" s="24">
        <f t="shared" si="58"/>
        <v>4.2833333333255723</v>
      </c>
      <c r="S150" s="24">
        <f t="shared" si="59"/>
        <v>56.183333333290648</v>
      </c>
    </row>
    <row r="151" spans="1:19" x14ac:dyDescent="0.3">
      <c r="A151" t="s">
        <v>310</v>
      </c>
      <c r="B151" s="23">
        <v>46112.979166666657</v>
      </c>
      <c r="C151" s="23">
        <v>46113.246527777781</v>
      </c>
      <c r="D151" s="23">
        <v>46114.1875</v>
      </c>
      <c r="E151" s="23">
        <v>46114.868750000001</v>
      </c>
      <c r="F151" s="23">
        <v>46115.257638888892</v>
      </c>
      <c r="G151" s="23">
        <v>46115.454861111109</v>
      </c>
      <c r="H151" s="24">
        <f t="shared" si="48"/>
        <v>6.4166666669771075</v>
      </c>
      <c r="I151" s="24">
        <f t="shared" si="49"/>
        <v>22.583333333255723</v>
      </c>
      <c r="J151" s="24">
        <f t="shared" si="50"/>
        <v>16.350000000034925</v>
      </c>
      <c r="K151" s="24">
        <f t="shared" si="51"/>
        <v>9.3333333333721384</v>
      </c>
      <c r="L151" s="24">
        <f t="shared" si="52"/>
        <v>4.7333333332207985</v>
      </c>
      <c r="M151" t="str">
        <f t="shared" si="53"/>
        <v>OK</v>
      </c>
      <c r="N151" s="24">
        <f t="shared" si="54"/>
        <v>6.4166666669771075</v>
      </c>
      <c r="O151" s="24">
        <f t="shared" si="55"/>
        <v>22.583333333255723</v>
      </c>
      <c r="P151" s="24">
        <f t="shared" si="56"/>
        <v>16.350000000034925</v>
      </c>
      <c r="Q151" s="24">
        <f t="shared" si="57"/>
        <v>9.3333333333721384</v>
      </c>
      <c r="R151" s="24">
        <f t="shared" si="58"/>
        <v>4.7333333332207985</v>
      </c>
      <c r="S151" s="24">
        <f t="shared" si="59"/>
        <v>59.416666666860692</v>
      </c>
    </row>
    <row r="152" spans="1:19" x14ac:dyDescent="0.3">
      <c r="A152" t="s">
        <v>311</v>
      </c>
      <c r="B152" s="23">
        <v>46113.461111111108</v>
      </c>
      <c r="C152" s="23">
        <v>46113.644444444442</v>
      </c>
      <c r="D152" s="23">
        <v>46114.709722222222</v>
      </c>
      <c r="E152" s="23">
        <v>46115.189583333333</v>
      </c>
      <c r="F152" s="23">
        <v>46115.474305555559</v>
      </c>
      <c r="G152" s="23">
        <v>46115.636111111111</v>
      </c>
      <c r="H152" s="24">
        <f t="shared" si="48"/>
        <v>4.4000000000232831</v>
      </c>
      <c r="I152" s="24">
        <f t="shared" si="49"/>
        <v>25.566666666709352</v>
      </c>
      <c r="J152" s="24">
        <f t="shared" si="50"/>
        <v>11.516666666662786</v>
      </c>
      <c r="K152" s="24">
        <f t="shared" si="51"/>
        <v>6.8333333334303461</v>
      </c>
      <c r="L152" s="24">
        <f t="shared" si="52"/>
        <v>3.8833333332440816</v>
      </c>
      <c r="M152" t="str">
        <f t="shared" si="53"/>
        <v>OK</v>
      </c>
      <c r="N152" s="24">
        <f t="shared" si="54"/>
        <v>4.4000000000232831</v>
      </c>
      <c r="O152" s="24">
        <f t="shared" si="55"/>
        <v>25.566666666709352</v>
      </c>
      <c r="P152" s="24">
        <f t="shared" si="56"/>
        <v>11.516666666662786</v>
      </c>
      <c r="Q152" s="24">
        <f t="shared" si="57"/>
        <v>6.8333333334303461</v>
      </c>
      <c r="R152" s="24">
        <f t="shared" si="58"/>
        <v>3.8833333332440816</v>
      </c>
      <c r="S152" s="24">
        <f t="shared" si="59"/>
        <v>52.200000000069849</v>
      </c>
    </row>
    <row r="153" spans="1:19" x14ac:dyDescent="0.3">
      <c r="A153" t="s">
        <v>312</v>
      </c>
      <c r="B153" s="23">
        <v>46113.480555555558</v>
      </c>
      <c r="C153" s="23">
        <v>46113.684027777781</v>
      </c>
      <c r="D153" s="23">
        <v>46114.647222222222</v>
      </c>
      <c r="E153" s="23">
        <v>46115.255555555559</v>
      </c>
      <c r="F153" s="23">
        <v>46115.652083333327</v>
      </c>
      <c r="G153" s="23">
        <v>46115.800694444442</v>
      </c>
      <c r="H153" s="24">
        <f t="shared" si="48"/>
        <v>4.8833333333604969</v>
      </c>
      <c r="I153" s="24">
        <f t="shared" si="49"/>
        <v>23.116666666581295</v>
      </c>
      <c r="J153" s="24">
        <f t="shared" si="50"/>
        <v>14.600000000093132</v>
      </c>
      <c r="K153" s="24">
        <f t="shared" si="51"/>
        <v>9.5166666664299555</v>
      </c>
      <c r="L153" s="24">
        <f t="shared" si="52"/>
        <v>3.5666666667675599</v>
      </c>
      <c r="M153" t="str">
        <f t="shared" si="53"/>
        <v>OK</v>
      </c>
      <c r="N153" s="24">
        <f t="shared" si="54"/>
        <v>4.8833333333604969</v>
      </c>
      <c r="O153" s="24">
        <f t="shared" si="55"/>
        <v>23.116666666581295</v>
      </c>
      <c r="P153" s="24">
        <f t="shared" si="56"/>
        <v>14.600000000093132</v>
      </c>
      <c r="Q153" s="24">
        <f t="shared" si="57"/>
        <v>9.5166666664299555</v>
      </c>
      <c r="R153" s="24">
        <f t="shared" si="58"/>
        <v>3.5666666667675599</v>
      </c>
      <c r="S153" s="24">
        <f t="shared" si="59"/>
        <v>55.68333333323244</v>
      </c>
    </row>
    <row r="154" spans="1:19" x14ac:dyDescent="0.3">
      <c r="A154" t="s">
        <v>313</v>
      </c>
      <c r="B154" s="23">
        <v>46113.930555555547</v>
      </c>
      <c r="C154" s="23">
        <v>46114.066666666673</v>
      </c>
      <c r="D154" s="23">
        <v>46115.131249999999</v>
      </c>
      <c r="E154" s="23">
        <v>46116.758333333331</v>
      </c>
      <c r="F154" s="23">
        <v>46117.009722222218</v>
      </c>
      <c r="G154" s="23">
        <v>46117.140277777777</v>
      </c>
      <c r="H154" s="24">
        <f t="shared" si="48"/>
        <v>3.2666666670120321</v>
      </c>
      <c r="I154" s="24">
        <f t="shared" si="49"/>
        <v>25.549999999813735</v>
      </c>
      <c r="J154" s="24">
        <f t="shared" si="50"/>
        <v>39.049999999988358</v>
      </c>
      <c r="K154" s="24">
        <f t="shared" si="51"/>
        <v>6.0333333332673647</v>
      </c>
      <c r="L154" s="24">
        <f t="shared" si="52"/>
        <v>3.1333333334187046</v>
      </c>
      <c r="M154" t="str">
        <f t="shared" si="53"/>
        <v>OK</v>
      </c>
      <c r="N154" s="24">
        <f t="shared" si="54"/>
        <v>3.2666666670120321</v>
      </c>
      <c r="O154" s="24">
        <f t="shared" si="55"/>
        <v>25.549999999813735</v>
      </c>
      <c r="P154" s="24">
        <f t="shared" si="56"/>
        <v>39.049999999988358</v>
      </c>
      <c r="Q154" s="24">
        <f t="shared" si="57"/>
        <v>6.0333333332673647</v>
      </c>
      <c r="R154" s="24">
        <f t="shared" si="58"/>
        <v>3.1333333334187046</v>
      </c>
      <c r="S154" s="24">
        <f t="shared" si="59"/>
        <v>77.033333333500195</v>
      </c>
    </row>
    <row r="155" spans="1:19" x14ac:dyDescent="0.3">
      <c r="A155" t="s">
        <v>314</v>
      </c>
      <c r="B155" s="23">
        <v>46114.083333333343</v>
      </c>
      <c r="C155" s="23">
        <v>46114.400694444441</v>
      </c>
      <c r="D155" s="23">
        <v>46115.365972222222</v>
      </c>
      <c r="E155" s="23">
        <v>46116.175694444442</v>
      </c>
      <c r="F155" s="23">
        <v>46116.746527777781</v>
      </c>
      <c r="G155" s="23">
        <v>46116.893055555563</v>
      </c>
      <c r="H155" s="24">
        <f t="shared" si="48"/>
        <v>7.6166666663484648</v>
      </c>
      <c r="I155" s="24">
        <f t="shared" si="49"/>
        <v>23.166666666744277</v>
      </c>
      <c r="J155" s="24">
        <f t="shared" si="50"/>
        <v>19.433333333290648</v>
      </c>
      <c r="K155" s="24">
        <f t="shared" si="51"/>
        <v>13.700000000128057</v>
      </c>
      <c r="L155" s="24">
        <f t="shared" si="52"/>
        <v>3.5166666667792015</v>
      </c>
      <c r="M155" t="str">
        <f t="shared" si="53"/>
        <v>OK</v>
      </c>
      <c r="N155" s="24">
        <f t="shared" si="54"/>
        <v>7.6166666663484648</v>
      </c>
      <c r="O155" s="24">
        <f t="shared" si="55"/>
        <v>23.166666666744277</v>
      </c>
      <c r="P155" s="24">
        <f t="shared" si="56"/>
        <v>19.433333333290648</v>
      </c>
      <c r="Q155" s="24">
        <f t="shared" si="57"/>
        <v>13.700000000128057</v>
      </c>
      <c r="R155" s="24">
        <f t="shared" si="58"/>
        <v>3.5166666667792015</v>
      </c>
      <c r="S155" s="24">
        <f t="shared" si="59"/>
        <v>67.433333333290648</v>
      </c>
    </row>
    <row r="156" spans="1:19" x14ac:dyDescent="0.3">
      <c r="A156" t="s">
        <v>315</v>
      </c>
      <c r="B156" s="23">
        <v>46114.125</v>
      </c>
      <c r="C156" s="23">
        <v>46114.534722222219</v>
      </c>
      <c r="D156" s="23">
        <v>46115.195833333331</v>
      </c>
      <c r="E156" s="23">
        <v>46117.512499999997</v>
      </c>
      <c r="F156" s="23">
        <v>46117.82916666667</v>
      </c>
      <c r="G156" s="23">
        <v>46117.904166666667</v>
      </c>
      <c r="H156" s="24">
        <f t="shared" si="48"/>
        <v>9.8333333332557231</v>
      </c>
      <c r="I156" s="24">
        <f t="shared" si="49"/>
        <v>15.866666666697711</v>
      </c>
      <c r="J156" s="24">
        <f t="shared" si="50"/>
        <v>55.599999999976717</v>
      </c>
      <c r="K156" s="24">
        <f t="shared" si="51"/>
        <v>7.6000000001513399</v>
      </c>
      <c r="L156" s="24">
        <f t="shared" si="52"/>
        <v>1.7999999999301508</v>
      </c>
      <c r="M156" t="str">
        <f t="shared" si="53"/>
        <v>OK</v>
      </c>
      <c r="N156" s="24">
        <f t="shared" si="54"/>
        <v>9.8333333332557231</v>
      </c>
      <c r="O156" s="24">
        <f t="shared" si="55"/>
        <v>15.866666666697711</v>
      </c>
      <c r="P156" s="24">
        <f t="shared" si="56"/>
        <v>55.599999999976717</v>
      </c>
      <c r="Q156" s="24">
        <f t="shared" si="57"/>
        <v>7.6000000001513399</v>
      </c>
      <c r="R156" s="24">
        <f t="shared" si="58"/>
        <v>1.7999999999301508</v>
      </c>
      <c r="S156" s="24">
        <f t="shared" si="59"/>
        <v>90.700000000011642</v>
      </c>
    </row>
    <row r="157" spans="1:19" x14ac:dyDescent="0.3">
      <c r="A157" t="s">
        <v>316</v>
      </c>
      <c r="B157" s="23">
        <v>46114.881944444453</v>
      </c>
      <c r="C157" s="23">
        <v>46115.006944444453</v>
      </c>
      <c r="D157" s="23">
        <v>46115.412499999999</v>
      </c>
      <c r="E157" s="23">
        <v>46115.691666666673</v>
      </c>
      <c r="F157" s="23">
        <v>46116.279861111107</v>
      </c>
      <c r="G157" s="23">
        <v>46116.395833333343</v>
      </c>
      <c r="H157" s="24">
        <f t="shared" si="48"/>
        <v>3</v>
      </c>
      <c r="I157" s="24">
        <f t="shared" si="49"/>
        <v>9.7333333331043832</v>
      </c>
      <c r="J157" s="24">
        <f t="shared" si="50"/>
        <v>6.7000000001862645</v>
      </c>
      <c r="K157" s="24">
        <f t="shared" si="51"/>
        <v>14.116666666406672</v>
      </c>
      <c r="L157" s="24">
        <f t="shared" si="52"/>
        <v>2.7833333336748183</v>
      </c>
      <c r="M157" t="str">
        <f t="shared" si="53"/>
        <v>OK</v>
      </c>
      <c r="N157" s="24">
        <f t="shared" si="54"/>
        <v>3</v>
      </c>
      <c r="O157" s="24">
        <f t="shared" si="55"/>
        <v>9.7333333331043832</v>
      </c>
      <c r="P157" s="24">
        <f t="shared" si="56"/>
        <v>6.7000000001862645</v>
      </c>
      <c r="Q157" s="24">
        <f t="shared" si="57"/>
        <v>14.116666666406672</v>
      </c>
      <c r="R157" s="24">
        <f t="shared" si="58"/>
        <v>2.7833333336748183</v>
      </c>
      <c r="S157" s="24">
        <f t="shared" si="59"/>
        <v>36.333333333372138</v>
      </c>
    </row>
    <row r="158" spans="1:19" x14ac:dyDescent="0.3">
      <c r="A158" t="s">
        <v>317</v>
      </c>
      <c r="B158" s="23">
        <v>46114.941666666673</v>
      </c>
      <c r="C158" s="23">
        <v>46115.222916666673</v>
      </c>
      <c r="D158" s="23">
        <v>46116.067361111112</v>
      </c>
      <c r="E158" s="23">
        <v>46116.594444444447</v>
      </c>
      <c r="F158" s="23">
        <v>46116.89166666667</v>
      </c>
      <c r="G158" s="23">
        <v>46117.021527777782</v>
      </c>
      <c r="H158" s="24">
        <f t="shared" si="48"/>
        <v>6.75</v>
      </c>
      <c r="I158" s="24">
        <f t="shared" si="49"/>
        <v>20.266666666546371</v>
      </c>
      <c r="J158" s="24">
        <f t="shared" si="50"/>
        <v>12.650000000023283</v>
      </c>
      <c r="K158" s="24">
        <f t="shared" si="51"/>
        <v>7.1333333333604969</v>
      </c>
      <c r="L158" s="24">
        <f t="shared" si="52"/>
        <v>3.1166666666977108</v>
      </c>
      <c r="M158" t="str">
        <f t="shared" si="53"/>
        <v>OK</v>
      </c>
      <c r="N158" s="24">
        <f t="shared" si="54"/>
        <v>6.75</v>
      </c>
      <c r="O158" s="24">
        <f t="shared" si="55"/>
        <v>20.266666666546371</v>
      </c>
      <c r="P158" s="24">
        <f t="shared" si="56"/>
        <v>12.650000000023283</v>
      </c>
      <c r="Q158" s="24">
        <f t="shared" si="57"/>
        <v>7.1333333333604969</v>
      </c>
      <c r="R158" s="24">
        <f t="shared" si="58"/>
        <v>3.1166666666977108</v>
      </c>
      <c r="S158" s="24">
        <f t="shared" si="59"/>
        <v>49.916666666627862</v>
      </c>
    </row>
    <row r="159" spans="1:19" x14ac:dyDescent="0.3">
      <c r="A159" t="s">
        <v>318</v>
      </c>
      <c r="B159" s="23">
        <v>46115.365972222222</v>
      </c>
      <c r="C159" s="23">
        <v>46115.637499999997</v>
      </c>
      <c r="D159" s="23">
        <v>46116.463194444441</v>
      </c>
      <c r="E159" s="23">
        <v>46117.273611111108</v>
      </c>
      <c r="F159" s="23">
        <v>46117.599305555559</v>
      </c>
      <c r="G159" s="23">
        <v>46117.795138888891</v>
      </c>
      <c r="H159" s="24">
        <f t="shared" si="48"/>
        <v>6.5166666666045785</v>
      </c>
      <c r="I159" s="24">
        <f t="shared" si="49"/>
        <v>19.816666666651145</v>
      </c>
      <c r="J159" s="24">
        <f t="shared" si="50"/>
        <v>19.450000000011642</v>
      </c>
      <c r="K159" s="24">
        <f t="shared" si="51"/>
        <v>7.8166666668257676</v>
      </c>
      <c r="L159" s="24">
        <f t="shared" si="52"/>
        <v>4.6999999999534339</v>
      </c>
      <c r="M159" t="str">
        <f t="shared" si="53"/>
        <v>OK</v>
      </c>
      <c r="N159" s="24">
        <f t="shared" si="54"/>
        <v>6.5166666666045785</v>
      </c>
      <c r="O159" s="24">
        <f t="shared" si="55"/>
        <v>19.816666666651145</v>
      </c>
      <c r="P159" s="24">
        <f t="shared" si="56"/>
        <v>19.450000000011642</v>
      </c>
      <c r="Q159" s="24">
        <f t="shared" si="57"/>
        <v>7.8166666668257676</v>
      </c>
      <c r="R159" s="24">
        <f t="shared" si="58"/>
        <v>4.6999999999534339</v>
      </c>
      <c r="S159" s="24">
        <f t="shared" si="59"/>
        <v>58.300000000046566</v>
      </c>
    </row>
    <row r="160" spans="1:19" x14ac:dyDescent="0.3">
      <c r="A160" t="s">
        <v>319</v>
      </c>
      <c r="B160" s="23">
        <v>46115.417361111111</v>
      </c>
      <c r="C160" s="23">
        <v>46115.709722222222</v>
      </c>
      <c r="D160" s="23">
        <v>46116.591666666667</v>
      </c>
      <c r="E160" s="23">
        <v>46117.337500000001</v>
      </c>
      <c r="F160" s="23">
        <v>46117.745138888888</v>
      </c>
      <c r="G160" s="23">
        <v>46117.890972222223</v>
      </c>
      <c r="H160" s="24">
        <f t="shared" si="48"/>
        <v>7.0166666666627862</v>
      </c>
      <c r="I160" s="24">
        <f t="shared" si="49"/>
        <v>21.166666666686069</v>
      </c>
      <c r="J160" s="24">
        <f t="shared" si="50"/>
        <v>17.900000000023283</v>
      </c>
      <c r="K160" s="24">
        <f t="shared" si="51"/>
        <v>9.7833333332673647</v>
      </c>
      <c r="L160" s="24">
        <f t="shared" si="52"/>
        <v>3.5000000000582077</v>
      </c>
      <c r="M160" t="str">
        <f t="shared" si="53"/>
        <v>OK</v>
      </c>
      <c r="N160" s="24">
        <f t="shared" si="54"/>
        <v>7.0166666666627862</v>
      </c>
      <c r="O160" s="24">
        <f t="shared" si="55"/>
        <v>21.166666666686069</v>
      </c>
      <c r="P160" s="24">
        <f t="shared" si="56"/>
        <v>17.900000000023283</v>
      </c>
      <c r="Q160" s="24">
        <f t="shared" si="57"/>
        <v>9.7833333332673647</v>
      </c>
      <c r="R160" s="24">
        <f t="shared" si="58"/>
        <v>3.5000000000582077</v>
      </c>
      <c r="S160" s="24">
        <f t="shared" si="59"/>
        <v>59.366666666697711</v>
      </c>
    </row>
    <row r="161" spans="1:19" x14ac:dyDescent="0.3">
      <c r="A161" t="s">
        <v>320</v>
      </c>
      <c r="B161" s="23">
        <v>46115.611111111109</v>
      </c>
      <c r="C161" s="23">
        <v>46116.050694444442</v>
      </c>
      <c r="D161" s="23">
        <v>46116.9375</v>
      </c>
      <c r="E161" s="23">
        <v>46118.072916666657</v>
      </c>
      <c r="F161" s="23">
        <v>46118.331944444442</v>
      </c>
      <c r="G161" s="23">
        <v>46118.419444444437</v>
      </c>
      <c r="H161" s="24">
        <f t="shared" si="48"/>
        <v>10.549999999988358</v>
      </c>
      <c r="I161" s="24">
        <f t="shared" si="49"/>
        <v>21.28333333338378</v>
      </c>
      <c r="J161" s="24">
        <f t="shared" si="50"/>
        <v>27.249999999767169</v>
      </c>
      <c r="K161" s="24">
        <f t="shared" si="51"/>
        <v>6.2166666668490507</v>
      </c>
      <c r="L161" s="24">
        <f t="shared" si="52"/>
        <v>2.0999999998603016</v>
      </c>
      <c r="M161" t="str">
        <f t="shared" si="53"/>
        <v>OK</v>
      </c>
      <c r="N161" s="24">
        <f t="shared" si="54"/>
        <v>10.549999999988358</v>
      </c>
      <c r="O161" s="24">
        <f t="shared" si="55"/>
        <v>21.28333333338378</v>
      </c>
      <c r="P161" s="24">
        <f t="shared" si="56"/>
        <v>27.249999999767169</v>
      </c>
      <c r="Q161" s="24">
        <f t="shared" si="57"/>
        <v>6.2166666668490507</v>
      </c>
      <c r="R161" s="24">
        <f t="shared" si="58"/>
        <v>2.0999999998603016</v>
      </c>
      <c r="S161" s="24">
        <f t="shared" si="59"/>
        <v>67.39999999984866</v>
      </c>
    </row>
    <row r="162" spans="1:19" x14ac:dyDescent="0.3">
      <c r="A162" t="s">
        <v>321</v>
      </c>
      <c r="B162" s="23">
        <v>46115.745833333327</v>
      </c>
      <c r="C162" s="23">
        <v>46116.136805555558</v>
      </c>
      <c r="D162" s="23">
        <v>46116.834722222222</v>
      </c>
      <c r="E162" s="23">
        <v>46117.454861111109</v>
      </c>
      <c r="F162" s="23">
        <v>46117.840277777781</v>
      </c>
      <c r="G162" s="23">
        <v>46117.93472222222</v>
      </c>
      <c r="H162" s="24">
        <f t="shared" si="48"/>
        <v>9.3833333335351199</v>
      </c>
      <c r="I162" s="24">
        <f t="shared" si="49"/>
        <v>16.749999999941792</v>
      </c>
      <c r="J162" s="24">
        <f t="shared" si="50"/>
        <v>14.883333333302289</v>
      </c>
      <c r="K162" s="24">
        <f t="shared" si="51"/>
        <v>9.2500000001164153</v>
      </c>
      <c r="L162" s="24">
        <f t="shared" si="52"/>
        <v>2.2666666665463708</v>
      </c>
      <c r="M162" t="str">
        <f t="shared" si="53"/>
        <v>OK</v>
      </c>
      <c r="N162" s="24">
        <f t="shared" si="54"/>
        <v>9.3833333335351199</v>
      </c>
      <c r="O162" s="24">
        <f t="shared" si="55"/>
        <v>16.749999999941792</v>
      </c>
      <c r="P162" s="24">
        <f t="shared" si="56"/>
        <v>14.883333333302289</v>
      </c>
      <c r="Q162" s="24">
        <f t="shared" si="57"/>
        <v>9.2500000001164153</v>
      </c>
      <c r="R162" s="24">
        <f t="shared" si="58"/>
        <v>2.2666666665463708</v>
      </c>
      <c r="S162" s="24">
        <f t="shared" si="59"/>
        <v>52.533333333441988</v>
      </c>
    </row>
    <row r="163" spans="1:19" x14ac:dyDescent="0.3">
      <c r="A163" t="s">
        <v>322</v>
      </c>
      <c r="B163" s="23">
        <v>46115.79583333333</v>
      </c>
      <c r="C163" s="23">
        <v>46115.952777777777</v>
      </c>
      <c r="D163" s="23">
        <v>46116.549305555563</v>
      </c>
      <c r="E163" s="23">
        <v>46117.177777777782</v>
      </c>
      <c r="F163" s="23">
        <v>46117.328472222223</v>
      </c>
      <c r="G163" s="23">
        <v>46117.474305555559</v>
      </c>
      <c r="H163" s="24">
        <f t="shared" si="48"/>
        <v>3.7666666667209938</v>
      </c>
      <c r="I163" s="24">
        <f t="shared" si="49"/>
        <v>14.316666666883975</v>
      </c>
      <c r="J163" s="24">
        <f t="shared" si="50"/>
        <v>15.083333333255723</v>
      </c>
      <c r="K163" s="24">
        <f t="shared" si="51"/>
        <v>3.6166666665812954</v>
      </c>
      <c r="L163" s="24">
        <f t="shared" si="52"/>
        <v>3.5000000000582077</v>
      </c>
      <c r="M163" t="str">
        <f t="shared" si="53"/>
        <v>OK</v>
      </c>
      <c r="N163" s="24">
        <f t="shared" si="54"/>
        <v>3.7666666667209938</v>
      </c>
      <c r="O163" s="24">
        <f t="shared" si="55"/>
        <v>14.316666666883975</v>
      </c>
      <c r="P163" s="24">
        <f t="shared" si="56"/>
        <v>15.083333333255723</v>
      </c>
      <c r="Q163" s="24">
        <f t="shared" si="57"/>
        <v>3.6166666665812954</v>
      </c>
      <c r="R163" s="24">
        <f t="shared" si="58"/>
        <v>3.5000000000582077</v>
      </c>
      <c r="S163" s="24">
        <f t="shared" si="59"/>
        <v>40.283333333500195</v>
      </c>
    </row>
    <row r="164" spans="1:19" x14ac:dyDescent="0.3">
      <c r="A164" t="s">
        <v>323</v>
      </c>
      <c r="B164" s="23">
        <v>46115.990972222222</v>
      </c>
      <c r="C164" s="23">
        <v>46116.206944444442</v>
      </c>
      <c r="D164" s="23">
        <v>46117.26666666667</v>
      </c>
      <c r="E164" s="23">
        <v>46117.406944444447</v>
      </c>
      <c r="F164" s="23">
        <v>46117.655555555553</v>
      </c>
      <c r="G164" s="23">
        <v>46117.745138888888</v>
      </c>
      <c r="H164" s="24">
        <f t="shared" si="48"/>
        <v>5.1833333332906477</v>
      </c>
      <c r="I164" s="24">
        <f t="shared" si="49"/>
        <v>25.433333333465271</v>
      </c>
      <c r="J164" s="24">
        <f t="shared" si="50"/>
        <v>3.3666666666395031</v>
      </c>
      <c r="K164" s="24">
        <f t="shared" si="51"/>
        <v>5.9666666665580124</v>
      </c>
      <c r="L164" s="24">
        <f t="shared" si="52"/>
        <v>2.1500000000232831</v>
      </c>
      <c r="M164" t="str">
        <f t="shared" si="53"/>
        <v>OK</v>
      </c>
      <c r="N164" s="24">
        <f t="shared" si="54"/>
        <v>5.1833333332906477</v>
      </c>
      <c r="O164" s="24">
        <f t="shared" si="55"/>
        <v>25.433333333465271</v>
      </c>
      <c r="P164" s="24">
        <f t="shared" si="56"/>
        <v>3.3666666666395031</v>
      </c>
      <c r="Q164" s="24">
        <f t="shared" si="57"/>
        <v>5.9666666665580124</v>
      </c>
      <c r="R164" s="24">
        <f t="shared" si="58"/>
        <v>2.1500000000232831</v>
      </c>
      <c r="S164" s="24">
        <f t="shared" si="59"/>
        <v>42.099999999976717</v>
      </c>
    </row>
    <row r="165" spans="1:19" x14ac:dyDescent="0.3">
      <c r="A165" t="s">
        <v>324</v>
      </c>
      <c r="B165" s="23">
        <v>46116.131944444453</v>
      </c>
      <c r="C165" s="23">
        <v>46116.4</v>
      </c>
      <c r="D165" s="23">
        <v>46117.500694444447</v>
      </c>
      <c r="E165" s="23">
        <v>46117.775694444441</v>
      </c>
      <c r="F165" s="23">
        <v>46118.024305555547</v>
      </c>
      <c r="G165" s="23">
        <v>46118.147916666669</v>
      </c>
      <c r="H165" s="24">
        <f t="shared" si="48"/>
        <v>6.4333333331742324</v>
      </c>
      <c r="I165" s="24">
        <f t="shared" si="49"/>
        <v>26.416666666686069</v>
      </c>
      <c r="J165" s="24">
        <f t="shared" si="50"/>
        <v>6.5999999998603016</v>
      </c>
      <c r="K165" s="24">
        <f t="shared" si="51"/>
        <v>5.9666666665580124</v>
      </c>
      <c r="L165" s="24">
        <f t="shared" si="52"/>
        <v>2.9666666669072583</v>
      </c>
      <c r="M165" t="str">
        <f t="shared" si="53"/>
        <v>OK</v>
      </c>
      <c r="N165" s="24">
        <f t="shared" si="54"/>
        <v>6.4333333331742324</v>
      </c>
      <c r="O165" s="24">
        <f t="shared" si="55"/>
        <v>26.416666666686069</v>
      </c>
      <c r="P165" s="24">
        <f t="shared" si="56"/>
        <v>6.5999999998603016</v>
      </c>
      <c r="Q165" s="24">
        <f t="shared" si="57"/>
        <v>5.9666666665580124</v>
      </c>
      <c r="R165" s="24">
        <f t="shared" si="58"/>
        <v>2.9666666669072583</v>
      </c>
      <c r="S165" s="24">
        <f t="shared" si="59"/>
        <v>48.383333333185874</v>
      </c>
    </row>
    <row r="166" spans="1:19" x14ac:dyDescent="0.3">
      <c r="A166" t="s">
        <v>325</v>
      </c>
      <c r="B166" s="23">
        <v>46116.170138888891</v>
      </c>
      <c r="C166" s="23">
        <v>46116.368750000001</v>
      </c>
      <c r="D166" s="23">
        <v>46117.378472222219</v>
      </c>
      <c r="E166" s="23">
        <v>46118.986805555563</v>
      </c>
      <c r="F166" s="23">
        <v>46119.275000000001</v>
      </c>
      <c r="G166" s="23">
        <v>46119.376388888893</v>
      </c>
      <c r="H166" s="24">
        <f t="shared" ref="H166:H197" si="60">IF(OR(B166="",C166=""),"",(C166-B166)*24)</f>
        <v>4.7666666666627862</v>
      </c>
      <c r="I166" s="24">
        <f t="shared" ref="I166:I197" si="61">IF(OR(C166="",D166=""),"",(D166-C166)*24)</f>
        <v>24.233333333220799</v>
      </c>
      <c r="J166" s="24">
        <f t="shared" ref="J166:J197" si="62">IF(OR(D166="",E166=""),"",(E166-D166)*24)</f>
        <v>38.600000000267755</v>
      </c>
      <c r="K166" s="24">
        <f t="shared" ref="K166:K197" si="63">IF(OR(E166="",F166=""),"",(F166-E166)*24)</f>
        <v>6.9166666665114462</v>
      </c>
      <c r="L166" s="24">
        <f t="shared" ref="L166:L197" si="64">IF(OR(F166="",G166=""),"",(G166-F166)*24)</f>
        <v>2.433333333407063</v>
      </c>
      <c r="M166" t="str">
        <f t="shared" ref="M166:M197" si="65">IF(COUNT(B166:G166)&lt;6,"Missing timestamp",IF(MIN(H166:L166)&lt;0,"Negative duration","OK"))</f>
        <v>OK</v>
      </c>
      <c r="N166" s="24">
        <f t="shared" ref="N166:N197" si="66">IF($M166="OK",H166,"")</f>
        <v>4.7666666666627862</v>
      </c>
      <c r="O166" s="24">
        <f t="shared" ref="O166:O197" si="67">IF($M166="OK",I166,"")</f>
        <v>24.233333333220799</v>
      </c>
      <c r="P166" s="24">
        <f t="shared" ref="P166:P197" si="68">IF($M166="OK",J166,"")</f>
        <v>38.600000000267755</v>
      </c>
      <c r="Q166" s="24">
        <f t="shared" ref="Q166:Q197" si="69">IF($M166="OK",K166,"")</f>
        <v>6.9166666665114462</v>
      </c>
      <c r="R166" s="24">
        <f t="shared" ref="R166:R197" si="70">IF($M166="OK",L166,"")</f>
        <v>2.433333333407063</v>
      </c>
      <c r="S166" s="24">
        <f t="shared" ref="S166:S197" si="71">IF(M166="OK",SUM(N166:R166),"")</f>
        <v>76.950000000069849</v>
      </c>
    </row>
    <row r="167" spans="1:19" x14ac:dyDescent="0.3">
      <c r="A167" t="s">
        <v>326</v>
      </c>
      <c r="B167" s="23">
        <v>46116.322916666657</v>
      </c>
      <c r="C167" s="23">
        <v>46116.536805555559</v>
      </c>
      <c r="D167" s="23">
        <v>46117.100694444453</v>
      </c>
      <c r="E167" s="23">
        <v>46117.620138888888</v>
      </c>
      <c r="F167" s="23">
        <v>46117.980555555558</v>
      </c>
      <c r="G167" s="23">
        <v>46118.101388888892</v>
      </c>
      <c r="H167" s="24">
        <f t="shared" si="60"/>
        <v>5.1333333336515352</v>
      </c>
      <c r="I167" s="24">
        <f t="shared" si="61"/>
        <v>13.533333333441988</v>
      </c>
      <c r="J167" s="24">
        <f t="shared" si="62"/>
        <v>12.466666666441597</v>
      </c>
      <c r="K167" s="24">
        <f t="shared" si="63"/>
        <v>8.6500000000814907</v>
      </c>
      <c r="L167" s="24">
        <f t="shared" si="64"/>
        <v>2.9000000000232831</v>
      </c>
      <c r="M167" t="str">
        <f t="shared" si="65"/>
        <v>OK</v>
      </c>
      <c r="N167" s="24">
        <f t="shared" si="66"/>
        <v>5.1333333336515352</v>
      </c>
      <c r="O167" s="24">
        <f t="shared" si="67"/>
        <v>13.533333333441988</v>
      </c>
      <c r="P167" s="24">
        <f t="shared" si="68"/>
        <v>12.466666666441597</v>
      </c>
      <c r="Q167" s="24">
        <f t="shared" si="69"/>
        <v>8.6500000000814907</v>
      </c>
      <c r="R167" s="24">
        <f t="shared" si="70"/>
        <v>2.9000000000232831</v>
      </c>
      <c r="S167" s="24">
        <f t="shared" si="71"/>
        <v>42.683333333639894</v>
      </c>
    </row>
    <row r="168" spans="1:19" x14ac:dyDescent="0.3">
      <c r="A168" t="s">
        <v>327</v>
      </c>
      <c r="B168" s="23">
        <v>46116.613194444442</v>
      </c>
      <c r="C168" s="23">
        <v>46116.762499999997</v>
      </c>
      <c r="D168" s="23">
        <v>46117.547222222223</v>
      </c>
      <c r="E168" s="23">
        <v>46118.123611111107</v>
      </c>
      <c r="F168" s="23">
        <v>46118.834027777782</v>
      </c>
      <c r="G168" s="23">
        <v>46118.995138888888</v>
      </c>
      <c r="H168" s="24">
        <f t="shared" si="60"/>
        <v>3.5833333333139308</v>
      </c>
      <c r="I168" s="24">
        <f t="shared" si="61"/>
        <v>18.833333333430346</v>
      </c>
      <c r="J168" s="24">
        <f t="shared" si="62"/>
        <v>13.833333333197515</v>
      </c>
      <c r="K168" s="24">
        <f t="shared" si="63"/>
        <v>17.050000000221189</v>
      </c>
      <c r="L168" s="24">
        <f t="shared" si="64"/>
        <v>3.8666666665230878</v>
      </c>
      <c r="M168" t="str">
        <f t="shared" si="65"/>
        <v>OK</v>
      </c>
      <c r="N168" s="24">
        <f t="shared" si="66"/>
        <v>3.5833333333139308</v>
      </c>
      <c r="O168" s="24">
        <f t="shared" si="67"/>
        <v>18.833333333430346</v>
      </c>
      <c r="P168" s="24">
        <f t="shared" si="68"/>
        <v>13.833333333197515</v>
      </c>
      <c r="Q168" s="24">
        <f t="shared" si="69"/>
        <v>17.050000000221189</v>
      </c>
      <c r="R168" s="24">
        <f t="shared" si="70"/>
        <v>3.8666666665230878</v>
      </c>
      <c r="S168" s="24">
        <f t="shared" si="71"/>
        <v>57.166666666686069</v>
      </c>
    </row>
    <row r="169" spans="1:19" x14ac:dyDescent="0.3">
      <c r="A169" t="s">
        <v>328</v>
      </c>
      <c r="B169" s="23">
        <v>46116.682638888888</v>
      </c>
      <c r="C169" s="23">
        <v>46116.938888888893</v>
      </c>
      <c r="D169" s="23">
        <v>46117.803472222222</v>
      </c>
      <c r="E169" s="23">
        <v>46118.093055555553</v>
      </c>
      <c r="F169" s="23">
        <v>46118.378472222219</v>
      </c>
      <c r="G169" s="23">
        <v>46118.572916666657</v>
      </c>
      <c r="H169" s="24">
        <f t="shared" si="60"/>
        <v>6.1500000001396984</v>
      </c>
      <c r="I169" s="24">
        <f t="shared" si="61"/>
        <v>20.749999999883585</v>
      </c>
      <c r="J169" s="24">
        <f t="shared" si="62"/>
        <v>6.9499999999534339</v>
      </c>
      <c r="K169" s="24">
        <f t="shared" si="63"/>
        <v>6.8499999999767169</v>
      </c>
      <c r="L169" s="24">
        <f t="shared" si="64"/>
        <v>4.6666666665114462</v>
      </c>
      <c r="M169" t="str">
        <f t="shared" si="65"/>
        <v>OK</v>
      </c>
      <c r="N169" s="24">
        <f t="shared" si="66"/>
        <v>6.1500000001396984</v>
      </c>
      <c r="O169" s="24">
        <f t="shared" si="67"/>
        <v>20.749999999883585</v>
      </c>
      <c r="P169" s="24">
        <f t="shared" si="68"/>
        <v>6.9499999999534339</v>
      </c>
      <c r="Q169" s="24">
        <f t="shared" si="69"/>
        <v>6.8499999999767169</v>
      </c>
      <c r="R169" s="24">
        <f t="shared" si="70"/>
        <v>4.6666666665114462</v>
      </c>
      <c r="S169" s="24">
        <f t="shared" si="71"/>
        <v>45.36666666646488</v>
      </c>
    </row>
    <row r="170" spans="1:19" x14ac:dyDescent="0.3">
      <c r="A170" t="s">
        <v>329</v>
      </c>
      <c r="B170" s="23">
        <v>46116.713194444441</v>
      </c>
      <c r="C170" s="23">
        <v>46116.982638888891</v>
      </c>
      <c r="D170" s="23">
        <v>46117.452777777777</v>
      </c>
      <c r="E170" s="23">
        <v>46118.442361111112</v>
      </c>
      <c r="F170" s="23">
        <v>46118.806944444441</v>
      </c>
      <c r="G170" s="23">
        <v>46119.077777777777</v>
      </c>
      <c r="H170" s="24">
        <f t="shared" si="60"/>
        <v>6.466666666790843</v>
      </c>
      <c r="I170" s="24">
        <f t="shared" si="61"/>
        <v>11.283333333267365</v>
      </c>
      <c r="J170" s="24">
        <f t="shared" si="62"/>
        <v>23.750000000058208</v>
      </c>
      <c r="K170" s="24">
        <f t="shared" si="63"/>
        <v>8.7499999998835847</v>
      </c>
      <c r="L170" s="24">
        <f t="shared" si="64"/>
        <v>6.5000000000582077</v>
      </c>
      <c r="M170" t="str">
        <f t="shared" si="65"/>
        <v>OK</v>
      </c>
      <c r="N170" s="24">
        <f t="shared" si="66"/>
        <v>6.466666666790843</v>
      </c>
      <c r="O170" s="24">
        <f t="shared" si="67"/>
        <v>11.283333333267365</v>
      </c>
      <c r="P170" s="24">
        <f t="shared" si="68"/>
        <v>23.750000000058208</v>
      </c>
      <c r="Q170" s="24">
        <f t="shared" si="69"/>
        <v>8.7499999998835847</v>
      </c>
      <c r="R170" s="24">
        <f t="shared" si="70"/>
        <v>6.5000000000582077</v>
      </c>
      <c r="S170" s="24">
        <f t="shared" si="71"/>
        <v>56.750000000058208</v>
      </c>
    </row>
    <row r="171" spans="1:19" x14ac:dyDescent="0.3">
      <c r="A171" t="s">
        <v>330</v>
      </c>
      <c r="B171" s="23">
        <v>46117.059027777781</v>
      </c>
      <c r="C171" s="23">
        <v>46117.286805555559</v>
      </c>
      <c r="D171" s="23">
        <v>46118.115277777782</v>
      </c>
      <c r="E171" s="23">
        <v>46118.885416666657</v>
      </c>
      <c r="F171" s="23">
        <v>46120.120138888888</v>
      </c>
      <c r="G171" s="23">
        <v>46120.27847222222</v>
      </c>
      <c r="H171" s="24">
        <f t="shared" si="60"/>
        <v>5.4666666666744277</v>
      </c>
      <c r="I171" s="24">
        <f t="shared" si="61"/>
        <v>19.883333333360497</v>
      </c>
      <c r="J171" s="24">
        <f t="shared" si="62"/>
        <v>18.483333332987968</v>
      </c>
      <c r="K171" s="24">
        <f t="shared" si="63"/>
        <v>29.63333333353512</v>
      </c>
      <c r="L171" s="24">
        <f t="shared" si="64"/>
        <v>3.7999999999883585</v>
      </c>
      <c r="M171" t="str">
        <f t="shared" si="65"/>
        <v>OK</v>
      </c>
      <c r="N171" s="24">
        <f t="shared" si="66"/>
        <v>5.4666666666744277</v>
      </c>
      <c r="O171" s="24">
        <f t="shared" si="67"/>
        <v>19.883333333360497</v>
      </c>
      <c r="P171" s="24">
        <f t="shared" si="68"/>
        <v>18.483333332987968</v>
      </c>
      <c r="Q171" s="24">
        <f t="shared" si="69"/>
        <v>29.63333333353512</v>
      </c>
      <c r="R171" s="24">
        <f t="shared" si="70"/>
        <v>3.7999999999883585</v>
      </c>
      <c r="S171" s="24">
        <f t="shared" si="71"/>
        <v>77.266666666546371</v>
      </c>
    </row>
    <row r="172" spans="1:19" x14ac:dyDescent="0.3">
      <c r="A172" t="s">
        <v>331</v>
      </c>
      <c r="B172" s="23">
        <v>46117.402083333327</v>
      </c>
      <c r="C172" s="23">
        <v>46117.706944444442</v>
      </c>
      <c r="D172" s="23">
        <v>46118.671527777777</v>
      </c>
      <c r="E172" s="23">
        <v>46119.429166666669</v>
      </c>
      <c r="F172" s="23">
        <v>46119.598611111112</v>
      </c>
      <c r="G172" s="23">
        <v>46119.719444444447</v>
      </c>
      <c r="H172" s="24">
        <f t="shared" si="60"/>
        <v>7.3166666667675599</v>
      </c>
      <c r="I172" s="24">
        <f t="shared" si="61"/>
        <v>23.150000000023283</v>
      </c>
      <c r="J172" s="24">
        <f t="shared" si="62"/>
        <v>18.183333333407063</v>
      </c>
      <c r="K172" s="24">
        <f t="shared" si="63"/>
        <v>4.0666666666511446</v>
      </c>
      <c r="L172" s="24">
        <f t="shared" si="64"/>
        <v>2.9000000000232831</v>
      </c>
      <c r="M172" t="str">
        <f t="shared" si="65"/>
        <v>OK</v>
      </c>
      <c r="N172" s="24">
        <f t="shared" si="66"/>
        <v>7.3166666667675599</v>
      </c>
      <c r="O172" s="24">
        <f t="shared" si="67"/>
        <v>23.150000000023283</v>
      </c>
      <c r="P172" s="24">
        <f t="shared" si="68"/>
        <v>18.183333333407063</v>
      </c>
      <c r="Q172" s="24">
        <f t="shared" si="69"/>
        <v>4.0666666666511446</v>
      </c>
      <c r="R172" s="24">
        <f t="shared" si="70"/>
        <v>2.9000000000232831</v>
      </c>
      <c r="S172" s="24">
        <f t="shared" si="71"/>
        <v>55.616666666872334</v>
      </c>
    </row>
    <row r="173" spans="1:19" x14ac:dyDescent="0.3">
      <c r="A173" t="s">
        <v>332</v>
      </c>
      <c r="B173" s="23">
        <v>46117.524305555547</v>
      </c>
      <c r="C173" s="23">
        <v>46117.914583333331</v>
      </c>
      <c r="D173" s="23">
        <v>46118.693055555559</v>
      </c>
      <c r="E173" s="23">
        <v>46119.227083333331</v>
      </c>
      <c r="F173" s="23">
        <v>46119.448611111111</v>
      </c>
      <c r="G173" s="23">
        <v>46119.556944444441</v>
      </c>
      <c r="H173" s="24">
        <f t="shared" si="60"/>
        <v>9.3666666668141261</v>
      </c>
      <c r="I173" s="24">
        <f t="shared" si="61"/>
        <v>18.683333333465271</v>
      </c>
      <c r="J173" s="24">
        <f t="shared" si="62"/>
        <v>12.816666666534729</v>
      </c>
      <c r="K173" s="24">
        <f t="shared" si="63"/>
        <v>5.3166666667093523</v>
      </c>
      <c r="L173" s="24">
        <f t="shared" si="64"/>
        <v>2.5999999999185093</v>
      </c>
      <c r="M173" t="str">
        <f t="shared" si="65"/>
        <v>OK</v>
      </c>
      <c r="N173" s="24">
        <f t="shared" si="66"/>
        <v>9.3666666668141261</v>
      </c>
      <c r="O173" s="24">
        <f t="shared" si="67"/>
        <v>18.683333333465271</v>
      </c>
      <c r="P173" s="24">
        <f t="shared" si="68"/>
        <v>12.816666666534729</v>
      </c>
      <c r="Q173" s="24">
        <f t="shared" si="69"/>
        <v>5.3166666667093523</v>
      </c>
      <c r="R173" s="24">
        <f t="shared" si="70"/>
        <v>2.5999999999185093</v>
      </c>
      <c r="S173" s="24">
        <f t="shared" si="71"/>
        <v>48.783333333441988</v>
      </c>
    </row>
    <row r="174" spans="1:19" x14ac:dyDescent="0.3">
      <c r="A174" t="s">
        <v>333</v>
      </c>
      <c r="B174" s="23">
        <v>46117.820138888892</v>
      </c>
      <c r="C174" s="23">
        <v>46118.064583333333</v>
      </c>
      <c r="D174" s="23">
        <v>46118.861805555563</v>
      </c>
      <c r="E174" s="23">
        <v>46120.443749999999</v>
      </c>
      <c r="F174" s="23">
        <v>46120.573611111111</v>
      </c>
      <c r="G174" s="23">
        <v>46120.645138888889</v>
      </c>
      <c r="H174" s="24">
        <f t="shared" si="60"/>
        <v>5.8666666665812954</v>
      </c>
      <c r="I174" s="24">
        <f t="shared" si="61"/>
        <v>19.13333333353512</v>
      </c>
      <c r="J174" s="24">
        <f t="shared" si="62"/>
        <v>37.966666666441597</v>
      </c>
      <c r="K174" s="24">
        <f t="shared" si="63"/>
        <v>3.1166666666977108</v>
      </c>
      <c r="L174" s="24">
        <f t="shared" si="64"/>
        <v>1.7166666666744277</v>
      </c>
      <c r="M174" t="str">
        <f t="shared" si="65"/>
        <v>OK</v>
      </c>
      <c r="N174" s="24">
        <f t="shared" si="66"/>
        <v>5.8666666665812954</v>
      </c>
      <c r="O174" s="24">
        <f t="shared" si="67"/>
        <v>19.13333333353512</v>
      </c>
      <c r="P174" s="24">
        <f t="shared" si="68"/>
        <v>37.966666666441597</v>
      </c>
      <c r="Q174" s="24">
        <f t="shared" si="69"/>
        <v>3.1166666666977108</v>
      </c>
      <c r="R174" s="24">
        <f t="shared" si="70"/>
        <v>1.7166666666744277</v>
      </c>
      <c r="S174" s="24">
        <f t="shared" si="71"/>
        <v>67.799999999930151</v>
      </c>
    </row>
    <row r="175" spans="1:19" x14ac:dyDescent="0.3">
      <c r="A175" t="s">
        <v>334</v>
      </c>
      <c r="B175" s="23">
        <v>46118.056944444441</v>
      </c>
      <c r="C175" s="23">
        <v>46118.213194444441</v>
      </c>
      <c r="D175" s="23">
        <v>46118.856944444437</v>
      </c>
      <c r="E175" s="23">
        <v>46120.336805555547</v>
      </c>
      <c r="F175" s="23">
        <v>46120.62222222222</v>
      </c>
      <c r="G175" s="23">
        <v>46120.879861111112</v>
      </c>
      <c r="H175" s="24">
        <f t="shared" si="60"/>
        <v>3.75</v>
      </c>
      <c r="I175" s="24">
        <f t="shared" si="61"/>
        <v>15.449999999895226</v>
      </c>
      <c r="J175" s="24">
        <f t="shared" si="62"/>
        <v>35.516666666662786</v>
      </c>
      <c r="K175" s="24">
        <f t="shared" si="63"/>
        <v>6.8500000001513399</v>
      </c>
      <c r="L175" s="24">
        <f t="shared" si="64"/>
        <v>6.183333333407063</v>
      </c>
      <c r="M175" t="str">
        <f t="shared" si="65"/>
        <v>OK</v>
      </c>
      <c r="N175" s="24">
        <f t="shared" si="66"/>
        <v>3.75</v>
      </c>
      <c r="O175" s="24">
        <f t="shared" si="67"/>
        <v>15.449999999895226</v>
      </c>
      <c r="P175" s="24">
        <f t="shared" si="68"/>
        <v>35.516666666662786</v>
      </c>
      <c r="Q175" s="24">
        <f t="shared" si="69"/>
        <v>6.8500000001513399</v>
      </c>
      <c r="R175" s="24">
        <f t="shared" si="70"/>
        <v>6.183333333407063</v>
      </c>
      <c r="S175" s="24">
        <f t="shared" si="71"/>
        <v>67.750000000116415</v>
      </c>
    </row>
    <row r="176" spans="1:19" x14ac:dyDescent="0.3">
      <c r="A176" t="s">
        <v>335</v>
      </c>
      <c r="B176" s="23">
        <v>46118.209722222222</v>
      </c>
      <c r="C176" s="23">
        <v>46118.412499999999</v>
      </c>
      <c r="D176" s="23">
        <v>46119.513888888891</v>
      </c>
      <c r="E176" s="23">
        <v>46120.837500000001</v>
      </c>
      <c r="F176" s="23">
        <v>46121.161111111112</v>
      </c>
      <c r="G176" s="23">
        <v>46121.216666666667</v>
      </c>
      <c r="H176" s="24">
        <f t="shared" si="60"/>
        <v>4.8666666666395031</v>
      </c>
      <c r="I176" s="24">
        <f t="shared" si="61"/>
        <v>26.433333333407063</v>
      </c>
      <c r="J176" s="24">
        <f t="shared" si="62"/>
        <v>31.766666666662786</v>
      </c>
      <c r="K176" s="24">
        <f t="shared" si="63"/>
        <v>7.7666666666627862</v>
      </c>
      <c r="L176" s="24">
        <f t="shared" si="64"/>
        <v>1.3333333333139308</v>
      </c>
      <c r="M176" t="str">
        <f t="shared" si="65"/>
        <v>OK</v>
      </c>
      <c r="N176" s="24">
        <f t="shared" si="66"/>
        <v>4.8666666666395031</v>
      </c>
      <c r="O176" s="24">
        <f t="shared" si="67"/>
        <v>26.433333333407063</v>
      </c>
      <c r="P176" s="24">
        <f t="shared" si="68"/>
        <v>31.766666666662786</v>
      </c>
      <c r="Q176" s="24">
        <f t="shared" si="69"/>
        <v>7.7666666666627862</v>
      </c>
      <c r="R176" s="24">
        <f t="shared" si="70"/>
        <v>1.3333333333139308</v>
      </c>
      <c r="S176" s="24">
        <f t="shared" si="71"/>
        <v>72.166666666686069</v>
      </c>
    </row>
    <row r="177" spans="1:19" x14ac:dyDescent="0.3">
      <c r="A177" t="s">
        <v>336</v>
      </c>
      <c r="B177" s="23">
        <v>46118.326388888891</v>
      </c>
      <c r="C177" s="23">
        <v>46118.520833333343</v>
      </c>
      <c r="D177" s="23">
        <v>46119.436111111107</v>
      </c>
      <c r="E177" s="23">
        <v>46119.615972222222</v>
      </c>
      <c r="F177" s="23">
        <v>46120.345138888893</v>
      </c>
      <c r="G177" s="23">
        <v>46120.490277777782</v>
      </c>
      <c r="H177" s="24">
        <f t="shared" si="60"/>
        <v>4.6666666668606922</v>
      </c>
      <c r="I177" s="24">
        <f t="shared" si="61"/>
        <v>21.966666666325182</v>
      </c>
      <c r="J177" s="24">
        <f t="shared" si="62"/>
        <v>4.3166666667675599</v>
      </c>
      <c r="K177" s="24">
        <f t="shared" si="63"/>
        <v>17.500000000116415</v>
      </c>
      <c r="L177" s="24">
        <f t="shared" si="64"/>
        <v>3.4833333333372138</v>
      </c>
      <c r="M177" t="str">
        <f t="shared" si="65"/>
        <v>OK</v>
      </c>
      <c r="N177" s="24">
        <f t="shared" si="66"/>
        <v>4.6666666668606922</v>
      </c>
      <c r="O177" s="24">
        <f t="shared" si="67"/>
        <v>21.966666666325182</v>
      </c>
      <c r="P177" s="24">
        <f t="shared" si="68"/>
        <v>4.3166666667675599</v>
      </c>
      <c r="Q177" s="24">
        <f t="shared" si="69"/>
        <v>17.500000000116415</v>
      </c>
      <c r="R177" s="24">
        <f t="shared" si="70"/>
        <v>3.4833333333372138</v>
      </c>
      <c r="S177" s="24">
        <f t="shared" si="71"/>
        <v>51.933333333407063</v>
      </c>
    </row>
    <row r="178" spans="1:19" x14ac:dyDescent="0.3">
      <c r="A178" t="s">
        <v>337</v>
      </c>
      <c r="B178" s="23">
        <v>46118.581250000003</v>
      </c>
      <c r="C178" s="23">
        <v>46118.900694444441</v>
      </c>
      <c r="D178" s="23">
        <v>46119.57916666667</v>
      </c>
      <c r="E178" s="23">
        <v>46119.79791666667</v>
      </c>
      <c r="F178" s="23">
        <v>46119.99722222222</v>
      </c>
      <c r="G178" s="23">
        <v>46120.095138888893</v>
      </c>
      <c r="H178" s="24">
        <f t="shared" si="60"/>
        <v>7.6666666665114462</v>
      </c>
      <c r="I178" s="24">
        <f t="shared" si="61"/>
        <v>16.283333333500195</v>
      </c>
      <c r="J178" s="24">
        <f t="shared" si="62"/>
        <v>5.25</v>
      </c>
      <c r="K178" s="24">
        <f t="shared" si="63"/>
        <v>4.783333333209157</v>
      </c>
      <c r="L178" s="24">
        <f t="shared" si="64"/>
        <v>2.3500000001513399</v>
      </c>
      <c r="M178" t="str">
        <f t="shared" si="65"/>
        <v>OK</v>
      </c>
      <c r="N178" s="24">
        <f t="shared" si="66"/>
        <v>7.6666666665114462</v>
      </c>
      <c r="O178" s="24">
        <f t="shared" si="67"/>
        <v>16.283333333500195</v>
      </c>
      <c r="P178" s="24">
        <f t="shared" si="68"/>
        <v>5.25</v>
      </c>
      <c r="Q178" s="24">
        <f t="shared" si="69"/>
        <v>4.783333333209157</v>
      </c>
      <c r="R178" s="24">
        <f t="shared" si="70"/>
        <v>2.3500000001513399</v>
      </c>
      <c r="S178" s="24">
        <f t="shared" si="71"/>
        <v>36.333333333372138</v>
      </c>
    </row>
    <row r="179" spans="1:19" x14ac:dyDescent="0.3">
      <c r="A179" t="s">
        <v>338</v>
      </c>
      <c r="B179" s="23">
        <v>46119.039583333331</v>
      </c>
      <c r="C179" s="23">
        <v>46119.272916666669</v>
      </c>
      <c r="D179" s="23">
        <v>46120.726388888892</v>
      </c>
      <c r="E179" s="23">
        <v>46121.763888888891</v>
      </c>
      <c r="F179" s="23">
        <v>46122.134027777778</v>
      </c>
      <c r="G179" s="23">
        <v>46122.234722222223</v>
      </c>
      <c r="H179" s="24">
        <f t="shared" si="60"/>
        <v>5.6000000000931323</v>
      </c>
      <c r="I179" s="24">
        <f t="shared" si="61"/>
        <v>34.883333333360497</v>
      </c>
      <c r="J179" s="24">
        <f t="shared" si="62"/>
        <v>24.899999999965075</v>
      </c>
      <c r="K179" s="24">
        <f t="shared" si="63"/>
        <v>8.8833333333022892</v>
      </c>
      <c r="L179" s="24">
        <f t="shared" si="64"/>
        <v>2.4166666666860692</v>
      </c>
      <c r="M179" t="str">
        <f t="shared" si="65"/>
        <v>OK</v>
      </c>
      <c r="N179" s="24">
        <f t="shared" si="66"/>
        <v>5.6000000000931323</v>
      </c>
      <c r="O179" s="24">
        <f t="shared" si="67"/>
        <v>34.883333333360497</v>
      </c>
      <c r="P179" s="24">
        <f t="shared" si="68"/>
        <v>24.899999999965075</v>
      </c>
      <c r="Q179" s="24">
        <f t="shared" si="69"/>
        <v>8.8833333333022892</v>
      </c>
      <c r="R179" s="24">
        <f t="shared" si="70"/>
        <v>2.4166666666860692</v>
      </c>
      <c r="S179" s="24">
        <f t="shared" si="71"/>
        <v>76.683333333407063</v>
      </c>
    </row>
    <row r="180" spans="1:19" x14ac:dyDescent="0.3">
      <c r="A180" t="s">
        <v>339</v>
      </c>
      <c r="B180" s="23">
        <v>46119.09097222222</v>
      </c>
      <c r="C180" s="23">
        <v>46119.302777777782</v>
      </c>
      <c r="D180" s="23">
        <v>46119.890277777777</v>
      </c>
      <c r="E180" s="23">
        <v>46122.19027777778</v>
      </c>
      <c r="F180" s="23">
        <v>46122.897222222222</v>
      </c>
      <c r="G180" s="23">
        <v>46123.072222222218</v>
      </c>
      <c r="H180" s="24">
        <f t="shared" si="60"/>
        <v>5.0833333334885538</v>
      </c>
      <c r="I180" s="24">
        <f t="shared" si="61"/>
        <v>14.099999999860302</v>
      </c>
      <c r="J180" s="24">
        <f t="shared" si="62"/>
        <v>55.200000000069849</v>
      </c>
      <c r="K180" s="24">
        <f t="shared" si="63"/>
        <v>16.96666666661622</v>
      </c>
      <c r="L180" s="24">
        <f t="shared" si="64"/>
        <v>4.1999999998952262</v>
      </c>
      <c r="M180" t="str">
        <f t="shared" si="65"/>
        <v>OK</v>
      </c>
      <c r="N180" s="24">
        <f t="shared" si="66"/>
        <v>5.0833333334885538</v>
      </c>
      <c r="O180" s="24">
        <f t="shared" si="67"/>
        <v>14.099999999860302</v>
      </c>
      <c r="P180" s="24">
        <f t="shared" si="68"/>
        <v>55.200000000069849</v>
      </c>
      <c r="Q180" s="24">
        <f t="shared" si="69"/>
        <v>16.96666666661622</v>
      </c>
      <c r="R180" s="24">
        <f t="shared" si="70"/>
        <v>4.1999999998952262</v>
      </c>
      <c r="S180" s="24">
        <f t="shared" si="71"/>
        <v>95.549999999930151</v>
      </c>
    </row>
    <row r="181" spans="1:19" x14ac:dyDescent="0.3">
      <c r="A181" t="s">
        <v>340</v>
      </c>
      <c r="B181" s="23">
        <v>46119.32708333333</v>
      </c>
      <c r="C181" s="23">
        <v>46119.564583333333</v>
      </c>
      <c r="D181" s="23">
        <v>46120.333333333343</v>
      </c>
      <c r="E181" s="23">
        <v>46121.670138888891</v>
      </c>
      <c r="F181" s="23">
        <v>46121.788888888892</v>
      </c>
      <c r="G181" s="23">
        <v>46121.923611111109</v>
      </c>
      <c r="H181" s="24">
        <f t="shared" si="60"/>
        <v>5.7000000000698492</v>
      </c>
      <c r="I181" s="24">
        <f t="shared" si="61"/>
        <v>18.450000000244472</v>
      </c>
      <c r="J181" s="24">
        <f t="shared" si="62"/>
        <v>32.083333333139308</v>
      </c>
      <c r="K181" s="24">
        <f t="shared" si="63"/>
        <v>2.8500000000349246</v>
      </c>
      <c r="L181" s="24">
        <f t="shared" si="64"/>
        <v>3.2333333332207985</v>
      </c>
      <c r="M181" t="str">
        <f t="shared" si="65"/>
        <v>OK</v>
      </c>
      <c r="N181" s="24">
        <f t="shared" si="66"/>
        <v>5.7000000000698492</v>
      </c>
      <c r="O181" s="24">
        <f t="shared" si="67"/>
        <v>18.450000000244472</v>
      </c>
      <c r="P181" s="24">
        <f t="shared" si="68"/>
        <v>32.083333333139308</v>
      </c>
      <c r="Q181" s="24">
        <f t="shared" si="69"/>
        <v>2.8500000000349246</v>
      </c>
      <c r="R181" s="24">
        <f t="shared" si="70"/>
        <v>3.2333333332207985</v>
      </c>
      <c r="S181" s="24">
        <f t="shared" si="71"/>
        <v>62.316666666709352</v>
      </c>
    </row>
    <row r="182" spans="1:19" x14ac:dyDescent="0.3">
      <c r="A182" t="s">
        <v>341</v>
      </c>
      <c r="B182" s="23">
        <v>46119.381249999999</v>
      </c>
      <c r="C182" s="23">
        <v>46119.70208333333</v>
      </c>
      <c r="D182" s="23">
        <v>46120.390277777777</v>
      </c>
      <c r="E182" s="23">
        <v>46120.928472222222</v>
      </c>
      <c r="F182" s="23">
        <v>46121.188888888893</v>
      </c>
      <c r="G182" s="23">
        <v>46121.23541666667</v>
      </c>
      <c r="H182" s="24">
        <f t="shared" si="60"/>
        <v>7.6999999999534339</v>
      </c>
      <c r="I182" s="24">
        <f t="shared" si="61"/>
        <v>16.516666666720994</v>
      </c>
      <c r="J182" s="24">
        <f t="shared" si="62"/>
        <v>12.916666666686069</v>
      </c>
      <c r="K182" s="24">
        <f t="shared" si="63"/>
        <v>6.2500000001164153</v>
      </c>
      <c r="L182" s="24">
        <f t="shared" si="64"/>
        <v>1.1166666666395031</v>
      </c>
      <c r="M182" t="str">
        <f t="shared" si="65"/>
        <v>OK</v>
      </c>
      <c r="N182" s="24">
        <f t="shared" si="66"/>
        <v>7.6999999999534339</v>
      </c>
      <c r="O182" s="24">
        <f t="shared" si="67"/>
        <v>16.516666666720994</v>
      </c>
      <c r="P182" s="24">
        <f t="shared" si="68"/>
        <v>12.916666666686069</v>
      </c>
      <c r="Q182" s="24">
        <f t="shared" si="69"/>
        <v>6.2500000001164153</v>
      </c>
      <c r="R182" s="24">
        <f t="shared" si="70"/>
        <v>1.1166666666395031</v>
      </c>
      <c r="S182" s="24">
        <f t="shared" si="71"/>
        <v>44.500000000116415</v>
      </c>
    </row>
    <row r="183" spans="1:19" x14ac:dyDescent="0.3">
      <c r="A183" t="s">
        <v>342</v>
      </c>
      <c r="B183" s="23">
        <v>46119.486111111109</v>
      </c>
      <c r="C183" s="23">
        <v>46119.693749999999</v>
      </c>
      <c r="D183" s="23">
        <v>46120.279861111107</v>
      </c>
      <c r="E183" s="23">
        <v>46120.85</v>
      </c>
      <c r="F183" s="23">
        <v>46121.393750000003</v>
      </c>
      <c r="G183" s="23">
        <v>46121.446527777778</v>
      </c>
      <c r="H183" s="24">
        <f t="shared" si="60"/>
        <v>4.9833333333372138</v>
      </c>
      <c r="I183" s="24">
        <f t="shared" si="61"/>
        <v>14.066666666592937</v>
      </c>
      <c r="J183" s="24">
        <f t="shared" si="62"/>
        <v>13.683333333407063</v>
      </c>
      <c r="K183" s="24">
        <f t="shared" si="63"/>
        <v>13.050000000104774</v>
      </c>
      <c r="L183" s="24">
        <f t="shared" si="64"/>
        <v>1.2666666666045785</v>
      </c>
      <c r="M183" t="str">
        <f t="shared" si="65"/>
        <v>OK</v>
      </c>
      <c r="N183" s="24">
        <f t="shared" si="66"/>
        <v>4.9833333333372138</v>
      </c>
      <c r="O183" s="24">
        <f t="shared" si="67"/>
        <v>14.066666666592937</v>
      </c>
      <c r="P183" s="24">
        <f t="shared" si="68"/>
        <v>13.683333333407063</v>
      </c>
      <c r="Q183" s="24">
        <f t="shared" si="69"/>
        <v>13.050000000104774</v>
      </c>
      <c r="R183" s="24">
        <f t="shared" si="70"/>
        <v>1.2666666666045785</v>
      </c>
      <c r="S183" s="24">
        <f t="shared" si="71"/>
        <v>47.050000000046566</v>
      </c>
    </row>
    <row r="184" spans="1:19" x14ac:dyDescent="0.3">
      <c r="A184" t="s">
        <v>343</v>
      </c>
      <c r="B184" s="23">
        <v>46119.841666666667</v>
      </c>
      <c r="C184" s="23">
        <v>46120.056944444441</v>
      </c>
      <c r="D184" s="23">
        <v>46120.768055555563</v>
      </c>
      <c r="E184" s="23">
        <v>46121.869444444441</v>
      </c>
      <c r="F184" s="23">
        <v>46122.042361111111</v>
      </c>
      <c r="G184" s="23">
        <v>46122.201388888891</v>
      </c>
      <c r="H184" s="24">
        <f t="shared" si="60"/>
        <v>5.1666666665696539</v>
      </c>
      <c r="I184" s="24">
        <f t="shared" si="61"/>
        <v>17.066666666942183</v>
      </c>
      <c r="J184" s="24">
        <f t="shared" si="62"/>
        <v>26.433333333057817</v>
      </c>
      <c r="K184" s="24">
        <f t="shared" si="63"/>
        <v>4.1500000000814907</v>
      </c>
      <c r="L184" s="24">
        <f t="shared" si="64"/>
        <v>3.8166666667093523</v>
      </c>
      <c r="M184" t="str">
        <f t="shared" si="65"/>
        <v>OK</v>
      </c>
      <c r="N184" s="24">
        <f t="shared" si="66"/>
        <v>5.1666666665696539</v>
      </c>
      <c r="O184" s="24">
        <f t="shared" si="67"/>
        <v>17.066666666942183</v>
      </c>
      <c r="P184" s="24">
        <f t="shared" si="68"/>
        <v>26.433333333057817</v>
      </c>
      <c r="Q184" s="24">
        <f t="shared" si="69"/>
        <v>4.1500000000814907</v>
      </c>
      <c r="R184" s="24">
        <f t="shared" si="70"/>
        <v>3.8166666667093523</v>
      </c>
      <c r="S184" s="24">
        <f t="shared" si="71"/>
        <v>56.633333333360497</v>
      </c>
    </row>
    <row r="185" spans="1:19" x14ac:dyDescent="0.3">
      <c r="A185" t="s">
        <v>344</v>
      </c>
      <c r="B185" s="23">
        <v>46120.361111111109</v>
      </c>
      <c r="C185" s="23">
        <v>46120.595138888893</v>
      </c>
      <c r="D185" s="23">
        <v>46121.34097222222</v>
      </c>
      <c r="E185" s="23">
        <v>46121.908333333333</v>
      </c>
      <c r="F185" s="23">
        <v>46122.250694444447</v>
      </c>
      <c r="G185" s="23">
        <v>46122.37777777778</v>
      </c>
      <c r="H185" s="24">
        <f t="shared" si="60"/>
        <v>5.6166666668141261</v>
      </c>
      <c r="I185" s="24">
        <f t="shared" si="61"/>
        <v>17.89999999984866</v>
      </c>
      <c r="J185" s="24">
        <f t="shared" si="62"/>
        <v>13.616666666697711</v>
      </c>
      <c r="K185" s="24">
        <f t="shared" si="63"/>
        <v>8.2166666667326353</v>
      </c>
      <c r="L185" s="24">
        <f t="shared" si="64"/>
        <v>3.0499999999883585</v>
      </c>
      <c r="M185" t="str">
        <f t="shared" si="65"/>
        <v>OK</v>
      </c>
      <c r="N185" s="24">
        <f t="shared" si="66"/>
        <v>5.6166666668141261</v>
      </c>
      <c r="O185" s="24">
        <f t="shared" si="67"/>
        <v>17.89999999984866</v>
      </c>
      <c r="P185" s="24">
        <f t="shared" si="68"/>
        <v>13.616666666697711</v>
      </c>
      <c r="Q185" s="24">
        <f t="shared" si="69"/>
        <v>8.2166666667326353</v>
      </c>
      <c r="R185" s="24">
        <f t="shared" si="70"/>
        <v>3.0499999999883585</v>
      </c>
      <c r="S185" s="24">
        <f t="shared" si="71"/>
        <v>48.400000000081491</v>
      </c>
    </row>
    <row r="186" spans="1:19" x14ac:dyDescent="0.3">
      <c r="A186" t="s">
        <v>345</v>
      </c>
      <c r="B186" s="23">
        <v>46120.413194444453</v>
      </c>
      <c r="C186" s="23">
        <v>46120.604166666657</v>
      </c>
      <c r="D186" s="23">
        <v>46121.402777777781</v>
      </c>
      <c r="E186" s="23">
        <v>46122.42083333333</v>
      </c>
      <c r="F186" s="23">
        <v>46122.793055555558</v>
      </c>
      <c r="G186" s="23">
        <v>46122.886805555558</v>
      </c>
      <c r="H186" s="24">
        <f t="shared" si="60"/>
        <v>4.5833333329064772</v>
      </c>
      <c r="I186" s="24">
        <f t="shared" si="61"/>
        <v>19.166666666977108</v>
      </c>
      <c r="J186" s="24">
        <f t="shared" si="62"/>
        <v>24.433333333174232</v>
      </c>
      <c r="K186" s="24">
        <f t="shared" si="63"/>
        <v>8.9333333334652707</v>
      </c>
      <c r="L186" s="24">
        <f t="shared" si="64"/>
        <v>2.25</v>
      </c>
      <c r="M186" t="str">
        <f t="shared" si="65"/>
        <v>OK</v>
      </c>
      <c r="N186" s="24">
        <f t="shared" si="66"/>
        <v>4.5833333329064772</v>
      </c>
      <c r="O186" s="24">
        <f t="shared" si="67"/>
        <v>19.166666666977108</v>
      </c>
      <c r="P186" s="24">
        <f t="shared" si="68"/>
        <v>24.433333333174232</v>
      </c>
      <c r="Q186" s="24">
        <f t="shared" si="69"/>
        <v>8.9333333334652707</v>
      </c>
      <c r="R186" s="24">
        <f t="shared" si="70"/>
        <v>2.25</v>
      </c>
      <c r="S186" s="24">
        <f t="shared" si="71"/>
        <v>59.366666666523088</v>
      </c>
    </row>
    <row r="187" spans="1:19" x14ac:dyDescent="0.3">
      <c r="A187" t="s">
        <v>346</v>
      </c>
      <c r="B187" s="23">
        <v>46121.411111111112</v>
      </c>
      <c r="C187" s="23">
        <v>46121.702777777777</v>
      </c>
      <c r="D187" s="23">
        <v>46122.643750000003</v>
      </c>
      <c r="E187" s="23">
        <v>46123.386111111111</v>
      </c>
      <c r="F187" s="23">
        <v>46123.898611111108</v>
      </c>
      <c r="G187" s="23">
        <v>46123.977083333331</v>
      </c>
      <c r="H187" s="24">
        <f t="shared" si="60"/>
        <v>6.9999999999417923</v>
      </c>
      <c r="I187" s="24">
        <f t="shared" si="61"/>
        <v>22.583333333430346</v>
      </c>
      <c r="J187" s="24">
        <f t="shared" si="62"/>
        <v>17.816666666592937</v>
      </c>
      <c r="K187" s="24">
        <f t="shared" si="63"/>
        <v>12.299999999930151</v>
      </c>
      <c r="L187" s="24">
        <f t="shared" si="64"/>
        <v>1.8833333333604969</v>
      </c>
      <c r="M187" t="str">
        <f t="shared" si="65"/>
        <v>OK</v>
      </c>
      <c r="N187" s="24">
        <f t="shared" si="66"/>
        <v>6.9999999999417923</v>
      </c>
      <c r="O187" s="24">
        <f t="shared" si="67"/>
        <v>22.583333333430346</v>
      </c>
      <c r="P187" s="24">
        <f t="shared" si="68"/>
        <v>17.816666666592937</v>
      </c>
      <c r="Q187" s="24">
        <f t="shared" si="69"/>
        <v>12.299999999930151</v>
      </c>
      <c r="R187" s="24">
        <f t="shared" si="70"/>
        <v>1.8833333333604969</v>
      </c>
      <c r="S187" s="24">
        <f t="shared" si="71"/>
        <v>61.583333333255723</v>
      </c>
    </row>
    <row r="188" spans="1:19" x14ac:dyDescent="0.3">
      <c r="A188" t="s">
        <v>347</v>
      </c>
      <c r="B188" s="23">
        <v>46121.645138888889</v>
      </c>
      <c r="C188" s="23">
        <v>46121.81527777778</v>
      </c>
      <c r="D188" s="23">
        <v>46123.05</v>
      </c>
      <c r="E188" s="23">
        <v>46123.779861111107</v>
      </c>
      <c r="F188" s="23">
        <v>46124.250694444447</v>
      </c>
      <c r="G188" s="23">
        <v>46124.329861111109</v>
      </c>
      <c r="H188" s="24">
        <f t="shared" si="60"/>
        <v>4.0833333333721384</v>
      </c>
      <c r="I188" s="24">
        <f t="shared" si="61"/>
        <v>29.633333333360497</v>
      </c>
      <c r="J188" s="24">
        <f t="shared" si="62"/>
        <v>17.516666666488163</v>
      </c>
      <c r="K188" s="24">
        <f t="shared" si="63"/>
        <v>11.300000000162981</v>
      </c>
      <c r="L188" s="24">
        <f t="shared" si="64"/>
        <v>1.8999999999068677</v>
      </c>
      <c r="M188" t="str">
        <f t="shared" si="65"/>
        <v>OK</v>
      </c>
      <c r="N188" s="24">
        <f t="shared" si="66"/>
        <v>4.0833333333721384</v>
      </c>
      <c r="O188" s="24">
        <f t="shared" si="67"/>
        <v>29.633333333360497</v>
      </c>
      <c r="P188" s="24">
        <f t="shared" si="68"/>
        <v>17.516666666488163</v>
      </c>
      <c r="Q188" s="24">
        <f t="shared" si="69"/>
        <v>11.300000000162981</v>
      </c>
      <c r="R188" s="24">
        <f t="shared" si="70"/>
        <v>1.8999999999068677</v>
      </c>
      <c r="S188" s="24">
        <f t="shared" si="71"/>
        <v>64.433333333290648</v>
      </c>
    </row>
    <row r="189" spans="1:19" x14ac:dyDescent="0.3">
      <c r="A189" t="s">
        <v>348</v>
      </c>
      <c r="B189" s="23">
        <v>46121.710416666669</v>
      </c>
      <c r="C189" s="23">
        <v>46121.917361111111</v>
      </c>
      <c r="D189" s="23">
        <v>46122.802777777782</v>
      </c>
      <c r="E189" s="23">
        <v>46123.12222222222</v>
      </c>
      <c r="F189" s="23">
        <v>46123.536805555559</v>
      </c>
      <c r="G189" s="23">
        <v>46123.654166666667</v>
      </c>
      <c r="H189" s="24">
        <f t="shared" si="60"/>
        <v>4.96666666661622</v>
      </c>
      <c r="I189" s="24">
        <f t="shared" si="61"/>
        <v>21.250000000116415</v>
      </c>
      <c r="J189" s="24">
        <f t="shared" si="62"/>
        <v>7.6666666665114462</v>
      </c>
      <c r="K189" s="24">
        <f t="shared" si="63"/>
        <v>9.9500000001280569</v>
      </c>
      <c r="L189" s="24">
        <f t="shared" si="64"/>
        <v>2.816666666592937</v>
      </c>
      <c r="M189" t="str">
        <f t="shared" si="65"/>
        <v>OK</v>
      </c>
      <c r="N189" s="24">
        <f t="shared" si="66"/>
        <v>4.96666666661622</v>
      </c>
      <c r="O189" s="24">
        <f t="shared" si="67"/>
        <v>21.250000000116415</v>
      </c>
      <c r="P189" s="24">
        <f t="shared" si="68"/>
        <v>7.6666666665114462</v>
      </c>
      <c r="Q189" s="24">
        <f t="shared" si="69"/>
        <v>9.9500000001280569</v>
      </c>
      <c r="R189" s="24">
        <f t="shared" si="70"/>
        <v>2.816666666592937</v>
      </c>
      <c r="S189" s="24">
        <f t="shared" si="71"/>
        <v>46.649999999965075</v>
      </c>
    </row>
    <row r="190" spans="1:19" x14ac:dyDescent="0.3">
      <c r="A190" t="s">
        <v>349</v>
      </c>
      <c r="B190" s="23">
        <v>46121.840277777781</v>
      </c>
      <c r="C190" s="23">
        <v>46122.174305555563</v>
      </c>
      <c r="D190" s="23">
        <v>46123.311805555553</v>
      </c>
      <c r="E190" s="23">
        <v>46123.624305555553</v>
      </c>
      <c r="F190" s="23">
        <v>46123.788888888892</v>
      </c>
      <c r="G190" s="23">
        <v>46123.910416666673</v>
      </c>
      <c r="H190" s="24">
        <f t="shared" si="60"/>
        <v>8.0166666667792015</v>
      </c>
      <c r="I190" s="24">
        <f t="shared" si="61"/>
        <v>27.299999999755528</v>
      </c>
      <c r="J190" s="24">
        <f t="shared" si="62"/>
        <v>7.5</v>
      </c>
      <c r="K190" s="24">
        <f t="shared" si="63"/>
        <v>3.9500000001280569</v>
      </c>
      <c r="L190" s="24">
        <f t="shared" si="64"/>
        <v>2.9166666667442769</v>
      </c>
      <c r="M190" t="str">
        <f t="shared" si="65"/>
        <v>OK</v>
      </c>
      <c r="N190" s="24">
        <f t="shared" si="66"/>
        <v>8.0166666667792015</v>
      </c>
      <c r="O190" s="24">
        <f t="shared" si="67"/>
        <v>27.299999999755528</v>
      </c>
      <c r="P190" s="24">
        <f t="shared" si="68"/>
        <v>7.5</v>
      </c>
      <c r="Q190" s="24">
        <f t="shared" si="69"/>
        <v>3.9500000001280569</v>
      </c>
      <c r="R190" s="24">
        <f t="shared" si="70"/>
        <v>2.9166666667442769</v>
      </c>
      <c r="S190" s="24">
        <f t="shared" si="71"/>
        <v>49.683333333407063</v>
      </c>
    </row>
    <row r="191" spans="1:19" x14ac:dyDescent="0.3">
      <c r="A191" t="s">
        <v>350</v>
      </c>
      <c r="B191" s="23">
        <v>46121.886111111111</v>
      </c>
      <c r="C191" s="23">
        <v>46122.149305555547</v>
      </c>
      <c r="D191" s="23">
        <v>46122.711805555547</v>
      </c>
      <c r="E191" s="23">
        <v>46122.865277777782</v>
      </c>
      <c r="F191" s="23">
        <v>46123.029861111107</v>
      </c>
      <c r="G191" s="23">
        <v>46123.148611111108</v>
      </c>
      <c r="H191" s="24">
        <f t="shared" si="60"/>
        <v>6.3166666664765216</v>
      </c>
      <c r="I191" s="24">
        <f t="shared" si="61"/>
        <v>13.5</v>
      </c>
      <c r="J191" s="24">
        <f t="shared" si="62"/>
        <v>3.6833333336398937</v>
      </c>
      <c r="K191" s="24">
        <f t="shared" si="63"/>
        <v>3.9499999997788109</v>
      </c>
      <c r="L191" s="24">
        <f t="shared" si="64"/>
        <v>2.8500000000349246</v>
      </c>
      <c r="M191" t="str">
        <f t="shared" si="65"/>
        <v>OK</v>
      </c>
      <c r="N191" s="24">
        <f t="shared" si="66"/>
        <v>6.3166666664765216</v>
      </c>
      <c r="O191" s="24">
        <f t="shared" si="67"/>
        <v>13.5</v>
      </c>
      <c r="P191" s="24">
        <f t="shared" si="68"/>
        <v>3.6833333336398937</v>
      </c>
      <c r="Q191" s="24">
        <f t="shared" si="69"/>
        <v>3.9499999997788109</v>
      </c>
      <c r="R191" s="24">
        <f t="shared" si="70"/>
        <v>2.8500000000349246</v>
      </c>
      <c r="S191" s="24">
        <f t="shared" si="71"/>
        <v>30.299999999930151</v>
      </c>
    </row>
    <row r="192" spans="1:19" x14ac:dyDescent="0.3">
      <c r="A192" t="s">
        <v>351</v>
      </c>
      <c r="B192" s="23">
        <v>46121.917361111111</v>
      </c>
      <c r="C192" s="23">
        <v>46122.152083333327</v>
      </c>
      <c r="D192" s="23">
        <v>46123.052777777782</v>
      </c>
      <c r="E192" s="23">
        <v>46124.789583333331</v>
      </c>
      <c r="F192" s="23">
        <v>46125.154166666667</v>
      </c>
      <c r="G192" s="23">
        <v>46125.236805555563</v>
      </c>
      <c r="H192" s="24">
        <f t="shared" si="60"/>
        <v>5.6333333331858739</v>
      </c>
      <c r="I192" s="24">
        <f t="shared" si="61"/>
        <v>21.616666666930541</v>
      </c>
      <c r="J192" s="24">
        <f t="shared" si="62"/>
        <v>41.683333333174232</v>
      </c>
      <c r="K192" s="24">
        <f t="shared" si="63"/>
        <v>8.7500000000582077</v>
      </c>
      <c r="L192" s="24">
        <f t="shared" si="64"/>
        <v>1.9833333335118368</v>
      </c>
      <c r="M192" t="str">
        <f t="shared" si="65"/>
        <v>OK</v>
      </c>
      <c r="N192" s="24">
        <f t="shared" si="66"/>
        <v>5.6333333331858739</v>
      </c>
      <c r="O192" s="24">
        <f t="shared" si="67"/>
        <v>21.616666666930541</v>
      </c>
      <c r="P192" s="24">
        <f t="shared" si="68"/>
        <v>41.683333333174232</v>
      </c>
      <c r="Q192" s="24">
        <f t="shared" si="69"/>
        <v>8.7500000000582077</v>
      </c>
      <c r="R192" s="24">
        <f t="shared" si="70"/>
        <v>1.9833333335118368</v>
      </c>
      <c r="S192" s="24">
        <f t="shared" si="71"/>
        <v>79.666666666860692</v>
      </c>
    </row>
    <row r="193" spans="1:19" x14ac:dyDescent="0.3">
      <c r="A193" t="s">
        <v>352</v>
      </c>
      <c r="B193" s="23">
        <v>46122.679166666669</v>
      </c>
      <c r="C193" s="23">
        <v>46122.861805555563</v>
      </c>
      <c r="D193" s="23">
        <v>46123.530555555553</v>
      </c>
      <c r="E193" s="23">
        <v>46124.009027777778</v>
      </c>
      <c r="F193" s="23">
        <v>46124.208333333343</v>
      </c>
      <c r="G193" s="23">
        <v>46124.302777777782</v>
      </c>
      <c r="H193" s="24">
        <f t="shared" si="60"/>
        <v>4.3833333334769122</v>
      </c>
      <c r="I193" s="24">
        <f t="shared" si="61"/>
        <v>16.049999999755528</v>
      </c>
      <c r="J193" s="24">
        <f t="shared" si="62"/>
        <v>11.483333333395422</v>
      </c>
      <c r="K193" s="24">
        <f t="shared" si="63"/>
        <v>4.783333333558403</v>
      </c>
      <c r="L193" s="24">
        <f t="shared" si="64"/>
        <v>2.2666666665463708</v>
      </c>
      <c r="M193" t="str">
        <f t="shared" si="65"/>
        <v>OK</v>
      </c>
      <c r="N193" s="24">
        <f t="shared" si="66"/>
        <v>4.3833333334769122</v>
      </c>
      <c r="O193" s="24">
        <f t="shared" si="67"/>
        <v>16.049999999755528</v>
      </c>
      <c r="P193" s="24">
        <f t="shared" si="68"/>
        <v>11.483333333395422</v>
      </c>
      <c r="Q193" s="24">
        <f t="shared" si="69"/>
        <v>4.783333333558403</v>
      </c>
      <c r="R193" s="24">
        <f t="shared" si="70"/>
        <v>2.2666666665463708</v>
      </c>
      <c r="S193" s="24">
        <f t="shared" si="71"/>
        <v>38.966666666732635</v>
      </c>
    </row>
    <row r="194" spans="1:19" x14ac:dyDescent="0.3">
      <c r="A194" t="s">
        <v>353</v>
      </c>
      <c r="B194" s="23">
        <v>46122.783333333333</v>
      </c>
      <c r="C194" s="23">
        <v>46122.98541666667</v>
      </c>
      <c r="D194" s="23">
        <v>46123.361805555563</v>
      </c>
      <c r="E194" s="23">
        <v>46123.5625</v>
      </c>
      <c r="F194" s="23">
        <v>46123.810416666667</v>
      </c>
      <c r="G194" s="23">
        <v>46123.906944444447</v>
      </c>
      <c r="H194" s="24">
        <f t="shared" si="60"/>
        <v>4.8500000000931323</v>
      </c>
      <c r="I194" s="24">
        <f t="shared" si="61"/>
        <v>9.0333333334419876</v>
      </c>
      <c r="J194" s="24">
        <f t="shared" si="62"/>
        <v>4.8166666664765216</v>
      </c>
      <c r="K194" s="24">
        <f t="shared" si="63"/>
        <v>5.9500000000116415</v>
      </c>
      <c r="L194" s="24">
        <f t="shared" si="64"/>
        <v>2.3166666667093523</v>
      </c>
      <c r="M194" t="str">
        <f t="shared" si="65"/>
        <v>OK</v>
      </c>
      <c r="N194" s="24">
        <f t="shared" si="66"/>
        <v>4.8500000000931323</v>
      </c>
      <c r="O194" s="24">
        <f t="shared" si="67"/>
        <v>9.0333333334419876</v>
      </c>
      <c r="P194" s="24">
        <f t="shared" si="68"/>
        <v>4.8166666664765216</v>
      </c>
      <c r="Q194" s="24">
        <f t="shared" si="69"/>
        <v>5.9500000000116415</v>
      </c>
      <c r="R194" s="24">
        <f t="shared" si="70"/>
        <v>2.3166666667093523</v>
      </c>
      <c r="S194" s="24">
        <f t="shared" si="71"/>
        <v>26.966666666732635</v>
      </c>
    </row>
    <row r="195" spans="1:19" x14ac:dyDescent="0.3">
      <c r="A195" t="s">
        <v>354</v>
      </c>
      <c r="B195" s="23">
        <v>46123.101388888892</v>
      </c>
      <c r="C195" s="23">
        <v>46123.338888888888</v>
      </c>
      <c r="D195" s="23">
        <v>46124.085416666669</v>
      </c>
      <c r="E195" s="23">
        <v>46124.615277777782</v>
      </c>
      <c r="F195" s="23">
        <v>46125.020138888889</v>
      </c>
      <c r="G195" s="23">
        <v>46125.211805555547</v>
      </c>
      <c r="H195" s="24">
        <f t="shared" si="60"/>
        <v>5.6999999998952262</v>
      </c>
      <c r="I195" s="24">
        <f t="shared" si="61"/>
        <v>17.916666666744277</v>
      </c>
      <c r="J195" s="24">
        <f t="shared" si="62"/>
        <v>12.716666666732635</v>
      </c>
      <c r="K195" s="24">
        <f t="shared" si="63"/>
        <v>9.7166666665580124</v>
      </c>
      <c r="L195" s="24">
        <f t="shared" si="64"/>
        <v>4.599999999802094</v>
      </c>
      <c r="M195" t="str">
        <f t="shared" si="65"/>
        <v>OK</v>
      </c>
      <c r="N195" s="24">
        <f t="shared" si="66"/>
        <v>5.6999999998952262</v>
      </c>
      <c r="O195" s="24">
        <f t="shared" si="67"/>
        <v>17.916666666744277</v>
      </c>
      <c r="P195" s="24">
        <f t="shared" si="68"/>
        <v>12.716666666732635</v>
      </c>
      <c r="Q195" s="24">
        <f t="shared" si="69"/>
        <v>9.7166666665580124</v>
      </c>
      <c r="R195" s="24">
        <f t="shared" si="70"/>
        <v>4.599999999802094</v>
      </c>
      <c r="S195" s="24">
        <f t="shared" si="71"/>
        <v>50.649999999732245</v>
      </c>
    </row>
    <row r="196" spans="1:19" x14ac:dyDescent="0.3">
      <c r="A196" t="s">
        <v>355</v>
      </c>
      <c r="B196" s="23">
        <v>46123.138888888891</v>
      </c>
      <c r="C196" s="23">
        <v>46123.297222222223</v>
      </c>
      <c r="D196" s="23">
        <v>46124.008333333331</v>
      </c>
      <c r="E196" s="23">
        <v>46124.380555555559</v>
      </c>
      <c r="F196" s="23">
        <v>46124.622916666667</v>
      </c>
      <c r="G196" s="23">
        <v>46124.727777777778</v>
      </c>
      <c r="H196" s="24">
        <f t="shared" si="60"/>
        <v>3.7999999999883585</v>
      </c>
      <c r="I196" s="24">
        <f t="shared" si="61"/>
        <v>17.066666666592937</v>
      </c>
      <c r="J196" s="24">
        <f t="shared" si="62"/>
        <v>8.9333333334652707</v>
      </c>
      <c r="K196" s="24">
        <f t="shared" si="63"/>
        <v>5.816666666592937</v>
      </c>
      <c r="L196" s="24">
        <f t="shared" si="64"/>
        <v>2.5166666666627862</v>
      </c>
      <c r="M196" t="str">
        <f t="shared" si="65"/>
        <v>OK</v>
      </c>
      <c r="N196" s="24">
        <f t="shared" si="66"/>
        <v>3.7999999999883585</v>
      </c>
      <c r="O196" s="24">
        <f t="shared" si="67"/>
        <v>17.066666666592937</v>
      </c>
      <c r="P196" s="24">
        <f t="shared" si="68"/>
        <v>8.9333333334652707</v>
      </c>
      <c r="Q196" s="24">
        <f t="shared" si="69"/>
        <v>5.816666666592937</v>
      </c>
      <c r="R196" s="24">
        <f t="shared" si="70"/>
        <v>2.5166666666627862</v>
      </c>
      <c r="S196" s="24">
        <f t="shared" si="71"/>
        <v>38.133333333302289</v>
      </c>
    </row>
    <row r="197" spans="1:19" x14ac:dyDescent="0.3">
      <c r="A197" t="s">
        <v>356</v>
      </c>
      <c r="B197" s="23">
        <v>46123.701388888891</v>
      </c>
      <c r="C197" s="23">
        <v>46124.061111111107</v>
      </c>
      <c r="D197" s="23">
        <v>46124.78402777778</v>
      </c>
      <c r="E197" s="23">
        <v>46124.986111111109</v>
      </c>
      <c r="F197" s="23">
        <v>46125.329861111109</v>
      </c>
      <c r="G197" s="23">
        <v>46125.415277777778</v>
      </c>
      <c r="H197" s="24">
        <f t="shared" si="60"/>
        <v>8.6333333331858739</v>
      </c>
      <c r="I197" s="24">
        <f t="shared" si="61"/>
        <v>17.35000000015134</v>
      </c>
      <c r="J197" s="24">
        <f t="shared" si="62"/>
        <v>4.8499999999185093</v>
      </c>
      <c r="K197" s="24">
        <f t="shared" si="63"/>
        <v>8.25</v>
      </c>
      <c r="L197" s="24">
        <f t="shared" si="64"/>
        <v>2.0500000000465661</v>
      </c>
      <c r="M197" t="str">
        <f t="shared" si="65"/>
        <v>OK</v>
      </c>
      <c r="N197" s="24">
        <f t="shared" si="66"/>
        <v>8.6333333331858739</v>
      </c>
      <c r="O197" s="24">
        <f t="shared" si="67"/>
        <v>17.35000000015134</v>
      </c>
      <c r="P197" s="24">
        <f t="shared" si="68"/>
        <v>4.8499999999185093</v>
      </c>
      <c r="Q197" s="24">
        <f t="shared" si="69"/>
        <v>8.25</v>
      </c>
      <c r="R197" s="24">
        <f t="shared" si="70"/>
        <v>2.0500000000465661</v>
      </c>
      <c r="S197" s="24">
        <f t="shared" si="71"/>
        <v>41.133333333302289</v>
      </c>
    </row>
    <row r="198" spans="1:19" x14ac:dyDescent="0.3">
      <c r="A198" t="s">
        <v>357</v>
      </c>
      <c r="B198" s="23">
        <v>46124.468055555553</v>
      </c>
      <c r="C198" s="23">
        <v>46124.694444444453</v>
      </c>
      <c r="D198" s="23">
        <v>46125.402083333327</v>
      </c>
      <c r="E198" s="23">
        <v>46126.977777777778</v>
      </c>
      <c r="F198" s="23">
        <v>46127.308333333327</v>
      </c>
      <c r="G198" s="23">
        <v>46127.571527777778</v>
      </c>
      <c r="H198" s="24">
        <f t="shared" ref="H198:H205" si="72">IF(OR(B198="",C198=""),"",(C198-B198)*24)</f>
        <v>5.433333333581686</v>
      </c>
      <c r="I198" s="24">
        <f t="shared" ref="I198:I205" si="73">IF(OR(C198="",D198=""),"",(D198-C198)*24)</f>
        <v>16.983333332987968</v>
      </c>
      <c r="J198" s="24">
        <f t="shared" ref="J198:J205" si="74">IF(OR(D198="",E198=""),"",(E198-D198)*24)</f>
        <v>37.816666666825768</v>
      </c>
      <c r="K198" s="24">
        <f t="shared" ref="K198:K205" si="75">IF(OR(E198="",F198=""),"",(F198-E198)*24)</f>
        <v>7.9333333331742324</v>
      </c>
      <c r="L198" s="24">
        <f t="shared" ref="L198:L205" si="76">IF(OR(F198="",G198=""),"",(G198-F198)*24)</f>
        <v>6.3166666668257676</v>
      </c>
      <c r="M198" t="str">
        <f t="shared" ref="M198:M205" si="77">IF(COUNT(B198:G198)&lt;6,"Missing timestamp",IF(MIN(H198:L198)&lt;0,"Negative duration","OK"))</f>
        <v>OK</v>
      </c>
      <c r="N198" s="24">
        <f t="shared" ref="N198:N205" si="78">IF($M198="OK",H198,"")</f>
        <v>5.433333333581686</v>
      </c>
      <c r="O198" s="24">
        <f t="shared" ref="O198:O205" si="79">IF($M198="OK",I198,"")</f>
        <v>16.983333332987968</v>
      </c>
      <c r="P198" s="24">
        <f t="shared" ref="P198:P205" si="80">IF($M198="OK",J198,"")</f>
        <v>37.816666666825768</v>
      </c>
      <c r="Q198" s="24">
        <f t="shared" ref="Q198:Q205" si="81">IF($M198="OK",K198,"")</f>
        <v>7.9333333331742324</v>
      </c>
      <c r="R198" s="24">
        <f t="shared" ref="R198:R205" si="82">IF($M198="OK",L198,"")</f>
        <v>6.3166666668257676</v>
      </c>
      <c r="S198" s="24">
        <f t="shared" ref="S198:S205" si="83">IF(M198="OK",SUM(N198:R198),"")</f>
        <v>74.483333333395422</v>
      </c>
    </row>
    <row r="199" spans="1:19" x14ac:dyDescent="0.3">
      <c r="A199" t="s">
        <v>358</v>
      </c>
      <c r="B199" s="23">
        <v>46124.694444444453</v>
      </c>
      <c r="C199" s="23">
        <v>46124.934027777781</v>
      </c>
      <c r="D199" s="23">
        <v>46125.702777777777</v>
      </c>
      <c r="E199" s="23">
        <v>46127.001388888893</v>
      </c>
      <c r="F199" s="23">
        <v>46127.323611111111</v>
      </c>
      <c r="G199" s="23">
        <v>46127.415972222218</v>
      </c>
      <c r="H199" s="24">
        <f t="shared" si="72"/>
        <v>5.7499999998835847</v>
      </c>
      <c r="I199" s="24">
        <f t="shared" si="73"/>
        <v>18.449999999895226</v>
      </c>
      <c r="J199" s="24">
        <f t="shared" si="74"/>
        <v>31.166666666802485</v>
      </c>
      <c r="K199" s="24">
        <f t="shared" si="75"/>
        <v>7.7333333332207985</v>
      </c>
      <c r="L199" s="24">
        <f t="shared" si="76"/>
        <v>2.2166666665580124</v>
      </c>
      <c r="M199" t="str">
        <f t="shared" si="77"/>
        <v>OK</v>
      </c>
      <c r="N199" s="24">
        <f t="shared" si="78"/>
        <v>5.7499999998835847</v>
      </c>
      <c r="O199" s="24">
        <f t="shared" si="79"/>
        <v>18.449999999895226</v>
      </c>
      <c r="P199" s="24">
        <f t="shared" si="80"/>
        <v>31.166666666802485</v>
      </c>
      <c r="Q199" s="24">
        <f t="shared" si="81"/>
        <v>7.7333333332207985</v>
      </c>
      <c r="R199" s="24">
        <f t="shared" si="82"/>
        <v>2.2166666665580124</v>
      </c>
      <c r="S199" s="24">
        <f t="shared" si="83"/>
        <v>65.316666666360106</v>
      </c>
    </row>
    <row r="200" spans="1:19" x14ac:dyDescent="0.3">
      <c r="A200" t="s">
        <v>359</v>
      </c>
      <c r="B200" s="23">
        <v>46124.809027777781</v>
      </c>
      <c r="C200" s="23">
        <v>46124.977083333331</v>
      </c>
      <c r="D200" s="23">
        <v>46125.974305555559</v>
      </c>
      <c r="E200" s="23">
        <v>46126.177083333343</v>
      </c>
      <c r="F200" s="23">
        <v>46126.415972222218</v>
      </c>
      <c r="G200" s="23">
        <v>46126.615972222222</v>
      </c>
      <c r="H200" s="24">
        <f t="shared" si="72"/>
        <v>4.033333333209157</v>
      </c>
      <c r="I200" s="24">
        <f t="shared" si="73"/>
        <v>23.933333333465271</v>
      </c>
      <c r="J200" s="24">
        <f t="shared" si="74"/>
        <v>4.8666666668141261</v>
      </c>
      <c r="K200" s="24">
        <f t="shared" si="75"/>
        <v>5.7333333329879679</v>
      </c>
      <c r="L200" s="24">
        <f t="shared" si="76"/>
        <v>4.8000000001047738</v>
      </c>
      <c r="M200" t="str">
        <f t="shared" si="77"/>
        <v>OK</v>
      </c>
      <c r="N200" s="24">
        <f t="shared" si="78"/>
        <v>4.033333333209157</v>
      </c>
      <c r="O200" s="24">
        <f t="shared" si="79"/>
        <v>23.933333333465271</v>
      </c>
      <c r="P200" s="24">
        <f t="shared" si="80"/>
        <v>4.8666666668141261</v>
      </c>
      <c r="Q200" s="24">
        <f t="shared" si="81"/>
        <v>5.7333333329879679</v>
      </c>
      <c r="R200" s="24">
        <f t="shared" si="82"/>
        <v>4.8000000001047738</v>
      </c>
      <c r="S200" s="24">
        <f t="shared" si="83"/>
        <v>43.366666666581295</v>
      </c>
    </row>
    <row r="201" spans="1:19" x14ac:dyDescent="0.3">
      <c r="A201" t="s">
        <v>360</v>
      </c>
      <c r="B201" s="23">
        <v>46124.927777777782</v>
      </c>
      <c r="C201" s="23">
        <v>46125.318055555559</v>
      </c>
      <c r="D201" s="23">
        <v>46126.029861111107</v>
      </c>
      <c r="E201" s="23">
        <v>46126.803472222222</v>
      </c>
      <c r="F201" s="23">
        <v>46127.072916666657</v>
      </c>
      <c r="G201" s="23">
        <v>46127.191666666673</v>
      </c>
      <c r="H201" s="24">
        <f t="shared" si="72"/>
        <v>9.3666666666395031</v>
      </c>
      <c r="I201" s="24">
        <f t="shared" si="73"/>
        <v>17.083333333139308</v>
      </c>
      <c r="J201" s="24">
        <f t="shared" si="74"/>
        <v>18.56666666676756</v>
      </c>
      <c r="K201" s="24">
        <f t="shared" si="75"/>
        <v>6.466666666441597</v>
      </c>
      <c r="L201" s="24">
        <f t="shared" si="76"/>
        <v>2.8500000003841706</v>
      </c>
      <c r="M201" t="str">
        <f t="shared" si="77"/>
        <v>OK</v>
      </c>
      <c r="N201" s="24">
        <f t="shared" si="78"/>
        <v>9.3666666666395031</v>
      </c>
      <c r="O201" s="24">
        <f t="shared" si="79"/>
        <v>17.083333333139308</v>
      </c>
      <c r="P201" s="24">
        <f t="shared" si="80"/>
        <v>18.56666666676756</v>
      </c>
      <c r="Q201" s="24">
        <f t="shared" si="81"/>
        <v>6.466666666441597</v>
      </c>
      <c r="R201" s="24">
        <f t="shared" si="82"/>
        <v>2.8500000003841706</v>
      </c>
      <c r="S201" s="24">
        <f t="shared" si="83"/>
        <v>54.333333333372138</v>
      </c>
    </row>
    <row r="202" spans="1:19" x14ac:dyDescent="0.3">
      <c r="A202" t="s">
        <v>361</v>
      </c>
      <c r="B202" s="23">
        <v>46125.000694444447</v>
      </c>
      <c r="C202" s="23">
        <v>46125.226388888892</v>
      </c>
      <c r="D202" s="23">
        <v>46125.71597222222</v>
      </c>
      <c r="E202" s="23">
        <v>46125.847916666673</v>
      </c>
      <c r="F202" s="23">
        <v>46126.352777777778</v>
      </c>
      <c r="G202" s="23">
        <v>46126.436111111107</v>
      </c>
      <c r="H202" s="24">
        <f t="shared" si="72"/>
        <v>5.4166666666860692</v>
      </c>
      <c r="I202" s="24">
        <f t="shared" si="73"/>
        <v>11.749999999883585</v>
      </c>
      <c r="J202" s="24">
        <f t="shared" si="74"/>
        <v>3.1666666668606922</v>
      </c>
      <c r="K202" s="24">
        <f t="shared" si="75"/>
        <v>12.116666666523088</v>
      </c>
      <c r="L202" s="24">
        <f t="shared" si="76"/>
        <v>1.9999999998835847</v>
      </c>
      <c r="M202" t="str">
        <f t="shared" si="77"/>
        <v>OK</v>
      </c>
      <c r="N202" s="24">
        <f t="shared" si="78"/>
        <v>5.4166666666860692</v>
      </c>
      <c r="O202" s="24">
        <f t="shared" si="79"/>
        <v>11.749999999883585</v>
      </c>
      <c r="P202" s="24">
        <f t="shared" si="80"/>
        <v>3.1666666668606922</v>
      </c>
      <c r="Q202" s="24">
        <f t="shared" si="81"/>
        <v>12.116666666523088</v>
      </c>
      <c r="R202" s="24">
        <f t="shared" si="82"/>
        <v>1.9999999998835847</v>
      </c>
      <c r="S202" s="24">
        <f t="shared" si="83"/>
        <v>34.449999999837019</v>
      </c>
    </row>
    <row r="203" spans="1:19" x14ac:dyDescent="0.3">
      <c r="A203" t="s">
        <v>362</v>
      </c>
      <c r="B203" s="23">
        <v>46125.113194444442</v>
      </c>
      <c r="C203" s="23">
        <v>46125.357638888891</v>
      </c>
      <c r="D203" s="23">
        <v>46127.01666666667</v>
      </c>
      <c r="E203" s="23">
        <v>46127.26458333333</v>
      </c>
      <c r="F203" s="23">
        <v>46127.888194444437</v>
      </c>
      <c r="G203" s="23">
        <v>46128.011805555558</v>
      </c>
      <c r="H203" s="24">
        <f t="shared" si="72"/>
        <v>5.8666666667559184</v>
      </c>
      <c r="I203" s="24">
        <f t="shared" si="73"/>
        <v>39.816666666709352</v>
      </c>
      <c r="J203" s="24">
        <f t="shared" si="74"/>
        <v>5.9499999998370185</v>
      </c>
      <c r="K203" s="24">
        <f t="shared" si="75"/>
        <v>14.966666666558012</v>
      </c>
      <c r="L203" s="24">
        <f t="shared" si="76"/>
        <v>2.9666666669072583</v>
      </c>
      <c r="M203" t="str">
        <f t="shared" si="77"/>
        <v>OK</v>
      </c>
      <c r="N203" s="24">
        <f t="shared" si="78"/>
        <v>5.8666666667559184</v>
      </c>
      <c r="O203" s="24">
        <f t="shared" si="79"/>
        <v>39.816666666709352</v>
      </c>
      <c r="P203" s="24">
        <f t="shared" si="80"/>
        <v>5.9499999998370185</v>
      </c>
      <c r="Q203" s="24">
        <f t="shared" si="81"/>
        <v>14.966666666558012</v>
      </c>
      <c r="R203" s="24">
        <f t="shared" si="82"/>
        <v>2.9666666669072583</v>
      </c>
      <c r="S203" s="24">
        <f t="shared" si="83"/>
        <v>69.56666666676756</v>
      </c>
    </row>
    <row r="204" spans="1:19" x14ac:dyDescent="0.3">
      <c r="A204" t="s">
        <v>363</v>
      </c>
      <c r="B204" s="23">
        <v>46125.190972222219</v>
      </c>
      <c r="C204" s="23">
        <v>46125.579861111109</v>
      </c>
      <c r="D204" s="23">
        <v>46126.436805555553</v>
      </c>
      <c r="E204" s="23">
        <v>46126.986805555563</v>
      </c>
      <c r="F204" s="23">
        <v>46127.398611111108</v>
      </c>
      <c r="G204" s="23">
        <v>46127.518750000003</v>
      </c>
      <c r="H204" s="24">
        <f t="shared" si="72"/>
        <v>9.3333333333721384</v>
      </c>
      <c r="I204" s="24">
        <f t="shared" si="73"/>
        <v>20.566666666651145</v>
      </c>
      <c r="J204" s="24">
        <f t="shared" si="74"/>
        <v>13.200000000244472</v>
      </c>
      <c r="K204" s="24">
        <f t="shared" si="75"/>
        <v>9.8833333330694586</v>
      </c>
      <c r="L204" s="24">
        <f t="shared" si="76"/>
        <v>2.8833333334769122</v>
      </c>
      <c r="M204" t="str">
        <f t="shared" si="77"/>
        <v>OK</v>
      </c>
      <c r="N204" s="24">
        <f t="shared" si="78"/>
        <v>9.3333333333721384</v>
      </c>
      <c r="O204" s="24">
        <f t="shared" si="79"/>
        <v>20.566666666651145</v>
      </c>
      <c r="P204" s="24">
        <f t="shared" si="80"/>
        <v>13.200000000244472</v>
      </c>
      <c r="Q204" s="24">
        <f t="shared" si="81"/>
        <v>9.8833333330694586</v>
      </c>
      <c r="R204" s="24">
        <f t="shared" si="82"/>
        <v>2.8833333334769122</v>
      </c>
      <c r="S204" s="24">
        <f t="shared" si="83"/>
        <v>55.866666666814126</v>
      </c>
    </row>
    <row r="205" spans="1:19" x14ac:dyDescent="0.3">
      <c r="A205" t="s">
        <v>364</v>
      </c>
      <c r="B205" s="23">
        <v>46125.225694444453</v>
      </c>
      <c r="C205" s="23">
        <v>46125.574999999997</v>
      </c>
      <c r="D205" s="23">
        <v>46126.532638888893</v>
      </c>
      <c r="E205" s="23">
        <v>46127.428472222222</v>
      </c>
      <c r="F205" s="23">
        <v>46127.854861111111</v>
      </c>
      <c r="G205" s="23">
        <v>46127.93472222222</v>
      </c>
      <c r="H205" s="24">
        <f t="shared" si="72"/>
        <v>8.3833333330694586</v>
      </c>
      <c r="I205" s="24">
        <f t="shared" si="73"/>
        <v>22.983333333511837</v>
      </c>
      <c r="J205" s="24">
        <f t="shared" si="74"/>
        <v>21.499999999883585</v>
      </c>
      <c r="K205" s="24">
        <f t="shared" si="75"/>
        <v>10.233333333337214</v>
      </c>
      <c r="L205" s="24">
        <f t="shared" si="76"/>
        <v>1.9166666666278616</v>
      </c>
      <c r="M205" t="str">
        <f t="shared" si="77"/>
        <v>OK</v>
      </c>
      <c r="N205" s="24">
        <f t="shared" si="78"/>
        <v>8.3833333330694586</v>
      </c>
      <c r="O205" s="24">
        <f t="shared" si="79"/>
        <v>22.983333333511837</v>
      </c>
      <c r="P205" s="24">
        <f t="shared" si="80"/>
        <v>21.499999999883585</v>
      </c>
      <c r="Q205" s="24">
        <f t="shared" si="81"/>
        <v>10.233333333337214</v>
      </c>
      <c r="R205" s="24">
        <f t="shared" si="82"/>
        <v>1.9166666666278616</v>
      </c>
      <c r="S205" s="24">
        <f t="shared" si="83"/>
        <v>65.016666666429956</v>
      </c>
    </row>
  </sheetData>
  <conditionalFormatting sqref="M6:M205">
    <cfRule type="expression" dxfId="0" priority="1">
      <formula>$M6&lt;&gt;"OK"</formula>
    </cfRule>
  </conditionalFormatting>
  <pageMargins left="0.75" right="0.75" top="1" bottom="1" header="0.5" footer="0.5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13"/>
  <sheetViews>
    <sheetView workbookViewId="0"/>
  </sheetViews>
  <sheetFormatPr defaultRowHeight="14.4" x14ac:dyDescent="0.3"/>
  <cols>
    <col min="1" max="1" width="140" customWidth="1"/>
  </cols>
  <sheetData>
    <row r="1" spans="1:1" ht="18" x14ac:dyDescent="0.35">
      <c r="A1" s="1" t="s">
        <v>365</v>
      </c>
    </row>
    <row r="2" spans="1:1" x14ac:dyDescent="0.3">
      <c r="A2" s="2" t="s">
        <v>1</v>
      </c>
    </row>
    <row r="4" spans="1:1" x14ac:dyDescent="0.3">
      <c r="A4" s="27" t="s">
        <v>366</v>
      </c>
    </row>
    <row r="5" spans="1:1" ht="48" customHeight="1" x14ac:dyDescent="0.3">
      <c r="A5" s="28" t="str">
        <f>"Inventory: "&amp;Inventory_Health!B6&amp;" of "&amp;Inventory_Health!B9&amp;" SKUs ("&amp;TEXT(Inventory_Health!C6,"0%")&amp;") sit below their reorder point; shortfall exposure EUR "&amp;TEXT(Inventory_Health!D10,"#,##0")&amp;". "&amp;Inventory_Health!B8&amp;" SKUs ("&amp;TEXT(Inventory_Health!C8,"0%")&amp;") are overstocked, tying up EUR "&amp;TEXT(Inventory_Health!D8,"#,##0")&amp;" ("&amp;TEXT(Inventory_Health!E8,"0%")&amp;" of total value)."</f>
        <v>Inventory: 12 of 40 SKUs (30%) sit below their reorder point; shortfall exposure EUR 123,208. 12 SKUs (30%) are overstocked, tying up EUR 720,994 (62% of total value).</v>
      </c>
    </row>
    <row r="6" spans="1:1" ht="48" customHeight="1" x14ac:dyDescent="0.3">
      <c r="A6" s="28" t="str">
        <f>"Process: "&amp;LeadTime_Analysis!V13&amp;" is the bottleneck by average ("&amp;TEXT(LeadTime_Analysis!V15,"0.0")&amp;" h of "&amp;TEXT(LeadTime_Analysis!V11,"0.0")&amp;" h end-to-end); "&amp;"by P90 the longest step is "&amp;LeadTime_Analysis!V14&amp;". "&amp;(LeadTime_Analysis!V18-LeadTime_Analysis!V19)&amp;" of "&amp;LeadTime_Analysis!V18&amp;" records excluded for data quality."</f>
        <v>Process: Assembly is the bottleneck by average (20.2 h of 55.5 h end-to-end); by P90 the longest step is Test. 5 of 200 records excluded for data quality.</v>
      </c>
    </row>
    <row r="7" spans="1:1" x14ac:dyDescent="0.3">
      <c r="A7" s="4"/>
    </row>
    <row r="8" spans="1:1" x14ac:dyDescent="0.3">
      <c r="A8" s="27" t="s">
        <v>367</v>
      </c>
    </row>
    <row r="9" spans="1:1" ht="34.049999999999997" customHeight="1" x14ac:dyDescent="0.3">
      <c r="A9" s="4" t="s">
        <v>368</v>
      </c>
    </row>
    <row r="10" spans="1:1" ht="34.049999999999997" customHeight="1" x14ac:dyDescent="0.3">
      <c r="A10" s="4" t="s">
        <v>369</v>
      </c>
    </row>
    <row r="11" spans="1:1" ht="34.049999999999997" customHeight="1" x14ac:dyDescent="0.3">
      <c r="A11" s="4" t="s">
        <v>370</v>
      </c>
    </row>
    <row r="12" spans="1:1" ht="34.049999999999997" customHeight="1" x14ac:dyDescent="0.3">
      <c r="A12" s="4" t="s">
        <v>371</v>
      </c>
    </row>
    <row r="13" spans="1:1" ht="34.049999999999997" customHeight="1" x14ac:dyDescent="0.3">
      <c r="A13" s="4" t="s">
        <v>372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Inventory_Health</vt:lpstr>
      <vt:lpstr>Exceptions</vt:lpstr>
      <vt:lpstr>LeadTime_Analysis</vt:lpstr>
      <vt:lpstr>Recommendation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Taim Salimoun</cp:lastModifiedBy>
  <cp:lastPrinted>2026-10-22T16:23:43Z</cp:lastPrinted>
  <dcterms:created xsi:type="dcterms:W3CDTF">2026-10-22T16:21:10Z</dcterms:created>
  <dcterms:modified xsi:type="dcterms:W3CDTF">2026-10-22T16:23:43Z</dcterms:modified>
</cp:coreProperties>
</file>